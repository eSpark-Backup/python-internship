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6821"/>
  <workbookPr codeName="ThisWorkbook" defaultThemeVersion="166925"/>
  <mc:AlternateContent xmlns:mc="http://schemas.openxmlformats.org/markup-compatibility/2006">
    <mc:Choice Requires="x15">
      <x15ac:absPath xmlns:x15ac="http://schemas.microsoft.com/office/spreadsheetml/2010/11/ac" url="D:\Stock Data\"/>
    </mc:Choice>
  </mc:AlternateContent>
  <xr:revisionPtr revIDLastSave="0" documentId="8_{54EA5AA2-73CE-4DD2-B553-09C32C44A902}" xr6:coauthVersionLast="47" xr6:coauthVersionMax="47" xr10:uidLastSave="{00000000-0000-0000-0000-000000000000}"/>
  <bookViews>
    <workbookView xWindow="240" yWindow="105" windowWidth="14805" windowHeight="8010" xr2:uid="{00000000-000D-0000-FFFF-FFFF00000000}"/>
  </bookViews>
  <sheets>
    <sheet name="Sheet1" sheetId="1" r:id="rId1"/>
  </sheets>
  <definedNames>
    <definedName name="_xlnm._FilterDatabase" localSheetId="0" hidden="1">Sheet1!$A$1:$S$294</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S64" i="1" l="1"/>
  <c r="S255" i="1"/>
  <c r="S256" i="1"/>
  <c r="S257" i="1"/>
  <c r="S258" i="1"/>
  <c r="S259" i="1"/>
  <c r="S260" i="1"/>
  <c r="S261" i="1"/>
  <c r="S262" i="1"/>
  <c r="S263" i="1"/>
  <c r="S264" i="1"/>
  <c r="S265" i="1"/>
  <c r="S266" i="1"/>
  <c r="S267" i="1"/>
  <c r="S268" i="1"/>
  <c r="S269" i="1"/>
  <c r="S270" i="1"/>
  <c r="S271" i="1"/>
  <c r="S272" i="1"/>
  <c r="S273" i="1"/>
  <c r="S274" i="1"/>
  <c r="S275" i="1"/>
  <c r="S276" i="1"/>
  <c r="S277" i="1"/>
  <c r="S278" i="1"/>
  <c r="S279" i="1"/>
  <c r="S280" i="1"/>
  <c r="S281" i="1"/>
  <c r="S282" i="1"/>
  <c r="S283" i="1"/>
  <c r="S284" i="1"/>
  <c r="S285" i="1"/>
  <c r="S286" i="1"/>
  <c r="S287" i="1"/>
  <c r="S288" i="1"/>
  <c r="S289" i="1"/>
  <c r="S290" i="1"/>
  <c r="S291" i="1"/>
  <c r="S292" i="1"/>
  <c r="S293" i="1"/>
  <c r="S294" i="1"/>
  <c r="S254" i="1"/>
  <c r="S253" i="1"/>
  <c r="S243" i="1"/>
  <c r="S244" i="1"/>
  <c r="S245" i="1"/>
  <c r="S246" i="1"/>
  <c r="S247" i="1"/>
  <c r="S248" i="1"/>
  <c r="S249" i="1"/>
  <c r="S250" i="1"/>
  <c r="S251" i="1"/>
  <c r="S252" i="1"/>
  <c r="S242" i="1"/>
  <c r="S236" i="1"/>
  <c r="S237" i="1"/>
  <c r="S238" i="1"/>
  <c r="S239" i="1"/>
  <c r="S240" i="1"/>
  <c r="S235" i="1"/>
  <c r="S233" i="1"/>
  <c r="S184" i="1"/>
  <c r="S185" i="1"/>
  <c r="S186" i="1"/>
  <c r="S187" i="1"/>
  <c r="S188" i="1"/>
  <c r="S189" i="1"/>
  <c r="S190" i="1"/>
  <c r="S191" i="1"/>
  <c r="S192" i="1"/>
  <c r="S193" i="1"/>
  <c r="S194" i="1"/>
  <c r="S195" i="1"/>
  <c r="S196" i="1"/>
  <c r="S197" i="1"/>
  <c r="S198" i="1"/>
  <c r="S199" i="1"/>
  <c r="S200" i="1"/>
  <c r="S201" i="1"/>
  <c r="S202" i="1"/>
  <c r="S203" i="1"/>
  <c r="S204" i="1"/>
  <c r="S205" i="1"/>
  <c r="S206" i="1"/>
  <c r="S207" i="1"/>
  <c r="S208" i="1"/>
  <c r="S209" i="1"/>
  <c r="S210" i="1"/>
  <c r="S211" i="1"/>
  <c r="S212" i="1"/>
  <c r="S213" i="1"/>
  <c r="S214" i="1"/>
  <c r="S215" i="1"/>
  <c r="S216" i="1"/>
  <c r="S217" i="1"/>
  <c r="S218" i="1"/>
  <c r="S219" i="1"/>
  <c r="S220" i="1"/>
  <c r="S221" i="1"/>
  <c r="S222" i="1"/>
  <c r="S223" i="1"/>
  <c r="S224" i="1"/>
  <c r="S225" i="1"/>
  <c r="S226" i="1"/>
  <c r="S227" i="1"/>
  <c r="S228" i="1"/>
  <c r="S229" i="1"/>
  <c r="S230" i="1"/>
  <c r="S231" i="1"/>
  <c r="S232" i="1"/>
  <c r="S183" i="1"/>
  <c r="S55" i="1"/>
  <c r="S56" i="1"/>
  <c r="S57" i="1"/>
  <c r="S58" i="1"/>
  <c r="S59" i="1"/>
  <c r="S60" i="1"/>
  <c r="S61" i="1"/>
  <c r="S62" i="1"/>
  <c r="S63" i="1"/>
  <c r="S65" i="1"/>
  <c r="S66" i="1"/>
  <c r="S67" i="1"/>
  <c r="S68" i="1"/>
  <c r="S69" i="1"/>
  <c r="S70" i="1"/>
  <c r="S71" i="1"/>
  <c r="S72" i="1"/>
  <c r="S73" i="1"/>
  <c r="S74" i="1"/>
  <c r="S75" i="1"/>
  <c r="S76" i="1"/>
  <c r="S77" i="1"/>
  <c r="S78" i="1"/>
  <c r="S79" i="1"/>
  <c r="S80" i="1"/>
  <c r="S81" i="1"/>
  <c r="S82" i="1"/>
  <c r="S83" i="1"/>
  <c r="S84" i="1"/>
  <c r="S85" i="1"/>
  <c r="S86" i="1"/>
  <c r="S87" i="1"/>
  <c r="S88" i="1"/>
  <c r="S89" i="1"/>
  <c r="S90" i="1"/>
  <c r="S91" i="1"/>
  <c r="S92" i="1"/>
  <c r="S93" i="1"/>
  <c r="S94" i="1"/>
  <c r="S95" i="1"/>
  <c r="S96" i="1"/>
  <c r="S97" i="1"/>
  <c r="S98" i="1"/>
  <c r="S99" i="1"/>
  <c r="S100" i="1"/>
  <c r="S101" i="1"/>
  <c r="S102" i="1"/>
  <c r="S103" i="1"/>
  <c r="S104" i="1"/>
  <c r="S105" i="1"/>
  <c r="S106" i="1"/>
  <c r="S107" i="1"/>
  <c r="S108" i="1"/>
  <c r="S109" i="1"/>
  <c r="S110" i="1"/>
  <c r="S111" i="1"/>
  <c r="S112" i="1"/>
  <c r="S113" i="1"/>
  <c r="S114" i="1"/>
  <c r="S115" i="1"/>
  <c r="S116" i="1"/>
  <c r="S117" i="1"/>
  <c r="S118" i="1"/>
  <c r="S119" i="1"/>
  <c r="S120" i="1"/>
  <c r="S121" i="1"/>
  <c r="S122" i="1"/>
  <c r="S123" i="1"/>
  <c r="S124" i="1"/>
  <c r="S125" i="1"/>
  <c r="S126" i="1"/>
  <c r="S127" i="1"/>
  <c r="S128" i="1"/>
  <c r="S129" i="1"/>
  <c r="S130" i="1"/>
  <c r="S131" i="1"/>
  <c r="S132" i="1"/>
  <c r="S133" i="1"/>
  <c r="S134" i="1"/>
  <c r="S135" i="1"/>
  <c r="S136" i="1"/>
  <c r="S137" i="1"/>
  <c r="S138" i="1"/>
  <c r="S139" i="1"/>
  <c r="S140" i="1"/>
  <c r="S141" i="1"/>
  <c r="S142" i="1"/>
  <c r="S143" i="1"/>
  <c r="S144" i="1"/>
  <c r="S54" i="1"/>
  <c r="S170" i="1" l="1"/>
  <c r="S171" i="1"/>
  <c r="S172" i="1"/>
  <c r="S173" i="1"/>
  <c r="S174" i="1"/>
  <c r="S175" i="1"/>
  <c r="S176" i="1"/>
  <c r="S177" i="1"/>
  <c r="S178" i="1"/>
  <c r="S179" i="1"/>
  <c r="S156" i="1"/>
  <c r="S157" i="1"/>
  <c r="S158" i="1"/>
  <c r="S159" i="1"/>
  <c r="S160" i="1"/>
  <c r="S161" i="1"/>
  <c r="S162" i="1"/>
  <c r="S163" i="1"/>
  <c r="S164" i="1"/>
  <c r="S165" i="1"/>
  <c r="S166" i="1"/>
  <c r="S167" i="1"/>
  <c r="S168" i="1"/>
  <c r="S169" i="1"/>
  <c r="S146" i="1"/>
  <c r="S147" i="1"/>
  <c r="S148" i="1"/>
  <c r="S149" i="1"/>
  <c r="S150" i="1"/>
  <c r="S151" i="1"/>
  <c r="S152" i="1"/>
  <c r="S153" i="1"/>
  <c r="S154" i="1"/>
  <c r="S155" i="1"/>
  <c r="S145" i="1"/>
  <c r="S44" i="1"/>
  <c r="S45" i="1"/>
  <c r="S46" i="1"/>
  <c r="S47" i="1"/>
  <c r="S48" i="1"/>
  <c r="S49" i="1"/>
  <c r="S50" i="1"/>
  <c r="S51" i="1"/>
  <c r="S43" i="1"/>
  <c r="S41" i="1"/>
  <c r="S40" i="1"/>
  <c r="S38" i="1"/>
  <c r="S36" i="1"/>
  <c r="S29" i="1"/>
  <c r="S30" i="1"/>
  <c r="S31" i="1"/>
  <c r="S32" i="1"/>
  <c r="S33" i="1"/>
  <c r="S34" i="1"/>
  <c r="S28" i="1"/>
  <c r="S27" i="1"/>
  <c r="S25" i="1"/>
  <c r="S17" i="1"/>
  <c r="S18" i="1"/>
  <c r="S19" i="1"/>
  <c r="S20" i="1"/>
  <c r="S21" i="1"/>
  <c r="S22" i="1"/>
  <c r="S23" i="1"/>
  <c r="S16" i="1"/>
  <c r="S3" i="1"/>
  <c r="S4" i="1"/>
  <c r="S5" i="1"/>
  <c r="S6" i="1"/>
  <c r="S7" i="1"/>
  <c r="S8" i="1"/>
  <c r="S9" i="1"/>
  <c r="S10" i="1"/>
  <c r="S11" i="1"/>
  <c r="S12" i="1"/>
  <c r="S13" i="1"/>
  <c r="S2" i="1"/>
  <c r="S241" i="1" l="1"/>
  <c r="S234" i="1"/>
</calcChain>
</file>

<file path=xl/sharedStrings.xml><?xml version="1.0" encoding="utf-8"?>
<sst xmlns="http://schemas.openxmlformats.org/spreadsheetml/2006/main" count="3768" uniqueCount="1622">
  <si>
    <t>Category</t>
  </si>
  <si>
    <t xml:space="preserve">CategoryUrl </t>
  </si>
  <si>
    <t xml:space="preserve">CategoryDesc </t>
  </si>
  <si>
    <t>SubCategory</t>
  </si>
  <si>
    <t xml:space="preserve">SubCategoryUrl </t>
  </si>
  <si>
    <t xml:space="preserve">SubCategoryDesc </t>
  </si>
  <si>
    <t>ManufacturerPartNo</t>
  </si>
  <si>
    <t>Manufacturer</t>
  </si>
  <si>
    <t>ItemName</t>
  </si>
  <si>
    <t>Description</t>
  </si>
  <si>
    <t>Stock</t>
  </si>
  <si>
    <t>Price</t>
  </si>
  <si>
    <t>Packaging</t>
  </si>
  <si>
    <t>Series</t>
  </si>
  <si>
    <t>DatasheetUrl</t>
  </si>
  <si>
    <t>ImageUrls</t>
  </si>
  <si>
    <t>Mounting Type</t>
  </si>
  <si>
    <t>Package Case</t>
  </si>
  <si>
    <t>AdditionalFields</t>
  </si>
  <si>
    <t>Electromechanical</t>
  </si>
  <si>
    <t>An electromechanical component is one that uses an electrical power or signal to cause some kind of mechanical changes, such as a motor turning</t>
  </si>
  <si>
    <t>Switches</t>
  </si>
  <si>
    <t>An Electro-mechanical component which used to connect or separate two or several set of points, needs external mechanical action to operate.</t>
  </si>
  <si>
    <t>B3U-1000P</t>
  </si>
  <si>
    <t>Omron Electronics Inc-EMC Div</t>
  </si>
  <si>
    <t>Tactile Switches</t>
  </si>
  <si>
    <t>SWITCH TACTILE SPST-NO 0.05A 12V</t>
  </si>
  <si>
    <t>Tube</t>
  </si>
  <si>
    <t>B3U</t>
  </si>
  <si>
    <t>https://www.digikey.com/en/htmldatasheets/production/883789/0/0/1/b3u-series-datasheet.html</t>
  </si>
  <si>
    <t>https://media.digikey.com/photos/Omron%20Elect%20Photos/B3U-1000P.JPG</t>
  </si>
  <si>
    <t>Surface Mount</t>
  </si>
  <si>
    <t>OS102011MA1QN1C</t>
  </si>
  <si>
    <t>C&amp;K</t>
  </si>
  <si>
    <t>Slide Switches</t>
  </si>
  <si>
    <t>Slide Switches SPDT On-On</t>
  </si>
  <si>
    <t>Bulk</t>
  </si>
  <si>
    <t>OS</t>
  </si>
  <si>
    <t>https://eu.mouser.com/datasheet/2/240/os-3050682.pdf</t>
  </si>
  <si>
    <t>https://eu.mouser.com/images/ckcomponents/images/OS102011MA1QN1_t.jpg</t>
  </si>
  <si>
    <t>Through Hole</t>
  </si>
  <si>
    <t>MSK12C02</t>
  </si>
  <si>
    <t>SHOU HAN</t>
  </si>
  <si>
    <t>SMD Slide Switches ROHS</t>
  </si>
  <si>
    <t>Cut Tape</t>
  </si>
  <si>
    <t>-</t>
  </si>
  <si>
    <t>https://datasheet.lcsc.com/lcsc/1912111437_SHOU-HAN-MSK12C02_C431540.pdf</t>
  </si>
  <si>
    <t>https://assets.lcsc.com/images/lcsc/900x900/20230204_SHOU-HAN-MSK12C02_C431540_front.jpg</t>
  </si>
  <si>
    <t>ESE-18R61D</t>
  </si>
  <si>
    <t>Panasonic Electronic Components</t>
  </si>
  <si>
    <t>Limit Switches</t>
  </si>
  <si>
    <t>SWITCH DETECTOR SPST-NC 10MA</t>
  </si>
  <si>
    <t>Tape &amp; Reel (TR)</t>
  </si>
  <si>
    <t>ESE18</t>
  </si>
  <si>
    <t>https://www.digikey.com/en/htmldatasheets/production/102795/0/0/1/ese-18-series-datasheet.html</t>
  </si>
  <si>
    <t>https://media.digikey.com/Photos/Panasonic%20Photos/ESE-18R63D.jpg</t>
  </si>
  <si>
    <t>H8550VBACA</t>
  </si>
  <si>
    <t>Bulgin</t>
  </si>
  <si>
    <t>Rocker Switches</t>
  </si>
  <si>
    <t>Rocker Switch</t>
  </si>
  <si>
    <t>https://eu.mouser.com/datasheet/2/57/A_Rocker_Switch-1600891.pdf</t>
  </si>
  <si>
    <t>https://eu.mouser.com/images/bulgin/images/8500_rocker_DSL.jpg</t>
  </si>
  <si>
    <t>Panel Mount</t>
  </si>
  <si>
    <t>T80-T-8019C-TECQ-3</t>
  </si>
  <si>
    <t>Salecom</t>
  </si>
  <si>
    <t>Toggle Switches</t>
  </si>
  <si>
    <t>Miniature toggle switches - Salecom T80-T -5A 120VAC/28VDC 2A 240VAC</t>
  </si>
  <si>
    <t>https://www.modellingelectronics.co.uk/datasheets/miniature-toggle-switch-on-off-on-spdt-pack-of-5-5cae1cf0a26f3.pdf</t>
  </si>
  <si>
    <t>https://www.modellingelectronics.co.uk/images/products/miniature-toggle-switches-salecom-t80-t-5ca9bf806dac1.jpg</t>
  </si>
  <si>
    <t>218-10LPSTJR</t>
  </si>
  <si>
    <t>CTS Electronic Components</t>
  </si>
  <si>
    <t>DIP Switches</t>
  </si>
  <si>
    <t>DIP Micro Switch 10 Position</t>
  </si>
  <si>
    <t>https://eu.mouser.com/datasheet/2/96/218-1144897.pdf</t>
  </si>
  <si>
    <t>https://eu.mouser.com/images/ctselectroniccomponents/images/218-10LPSTJ_SPL.jpg</t>
  </si>
  <si>
    <t>PCB Mount</t>
  </si>
  <si>
    <t>SS-12D28L5</t>
  </si>
  <si>
    <t>XKB Connectivity</t>
  </si>
  <si>
    <t>Shrouded SPDT 125V 15.85mm 6.8mm 3A PCPin 10000 Rectangular columnar -40℃~+85℃ Black Plugin Slide Switches ROHS</t>
  </si>
  <si>
    <t>https://datasheet.lcsc.com/lcsc/1810301448_XKB-Connectivity-SS-12D28L5_C319007.pdf</t>
  </si>
  <si>
    <t>https://assets.lcsc.com/images/lcsc/900x900/20181030_XKB-Connectivity-SS-12D28L5_C319007_front.jpg</t>
  </si>
  <si>
    <t>Shrouded</t>
  </si>
  <si>
    <t>TL3300CF160Q</t>
  </si>
  <si>
    <t>E-Switch</t>
  </si>
  <si>
    <t>12mm 5mm Round Button 50mA Brick nogging 12mm SPST 12V SMD12x12mm Tactile Switches ROHS</t>
  </si>
  <si>
    <t>https://datasheet.lcsc.com/lcsc/1811151654_E-Switch-TL3300CF160Q_C273516.pdf</t>
  </si>
  <si>
    <t>https://assets.lcsc.com/images/lcsc/900x900/20181115_E-Switch-TL3300CF160Q_C273516_front.jpg</t>
  </si>
  <si>
    <t>Brick nogging</t>
  </si>
  <si>
    <t>SS-3235D-03-L2</t>
  </si>
  <si>
    <t>Brick nogging 50mA DPDT 12V 3.5mm 9.05mm 12V 3.5mm 50mA SMDSplicing 10000 Rectangular columnar -40℃~+85℃ Black SMD Slide Switches ROHS</t>
  </si>
  <si>
    <t>https://datasheet.lcsc.com/lcsc/2002271813_XKB-Connectivity-SS-3235D-03-L2_C381097.pdf</t>
  </si>
  <si>
    <t>https://assets.lcsc.com/images/lcsc/900x900/20190328_XKB-Connectivity-SS-3235D-03-L2_C381097_front.jpg</t>
  </si>
  <si>
    <t>Wurth Elektronik</t>
  </si>
  <si>
    <t>DIP Switches/SIP Switches WS-DITV DIP 8p THT 2.54mm Hrztl Box</t>
  </si>
  <si>
    <t>WS-DITV</t>
  </si>
  <si>
    <t>https://eu.mouser.com/datasheet/2/445/418117270908-3087033.pdf</t>
  </si>
  <si>
    <t>https://eu.mouser.com/images/wurthelectronics/images/WS_BS_4181172709xx_SPL.jpg</t>
  </si>
  <si>
    <t>DS02-254-1L-02BE</t>
  </si>
  <si>
    <t>CUI Devices</t>
  </si>
  <si>
    <t>DIP Switches/SIP Switches 2 12 Positions Through Hole 2.54 mm Pitch Piano Slide Actuator DIP Switch</t>
  </si>
  <si>
    <t>https://eu.mouser.com/datasheet/2/670/ds02_254-1777565.pdf</t>
  </si>
  <si>
    <t>https://eu.mouser.com/images/cuiinc/images/DS02-254-02_SPL.jpg</t>
  </si>
  <si>
    <t>Arduino Products</t>
  </si>
  <si>
    <t>Arduino is the popular open-source electronics prototyping platform based on easy-to-use hardware and software. It's intended for artists, designers, hobbyists, and anyone interested in creating interactive objects or environments and is designed to be as flexible as possible to fit your project's needs.</t>
  </si>
  <si>
    <t>Arduino Boards</t>
  </si>
  <si>
    <t>Arduino boards on the market, there are a handful that are most commonly seen. The most commonly used Arduino boards by both engineers and hobbyists include Arduino UNO,Arduino Nano,Arduino Due,Arduino Mega</t>
  </si>
  <si>
    <t>A000067</t>
  </si>
  <si>
    <t>Arduino</t>
  </si>
  <si>
    <t xml:space="preserve">ATmega2560 </t>
  </si>
  <si>
    <t xml:space="preserve">Arduino Mega 2560 Rev3 </t>
  </si>
  <si>
    <t>https://docs.arduino.cc/static/72be0dec11bfaddb42da1c09e0d02ac5/A000067-datasheet.pdf</t>
  </si>
  <si>
    <t>https://cdn.shopify.com/s/files/1/0438/4735/2471/products/A000067_00.front_643x483.jpg</t>
  </si>
  <si>
    <t>A000066</t>
  </si>
  <si>
    <t xml:space="preserve">ATmega328P </t>
  </si>
  <si>
    <t>with ATmega328P Operating Voltage 5V</t>
  </si>
  <si>
    <t>https://docs.arduino.cc/resources/datasheets/A000066-datasheet.pdf</t>
  </si>
  <si>
    <t>https://cdn.shopify.com/s/files/1/0438/4735/2471/products/A000066_03.front_643x483.jpg</t>
  </si>
  <si>
    <t>Connectors</t>
  </si>
  <si>
    <t>Connectors are present in almost all electrical applications, they are used in power, telecommunications, audio, video, computing, embedded systems, automation, transportation, ATE systems and lightning applications just to name a few. Connections may be permanent or removable.</t>
  </si>
  <si>
    <t>Headers and Wire Housings</t>
  </si>
  <si>
    <t>Board to board and wire to board connectors</t>
  </si>
  <si>
    <t>B3B-PH-KL(LF)(SN)</t>
  </si>
  <si>
    <t>JST Sales America Inc.</t>
  </si>
  <si>
    <t>Male Headers</t>
  </si>
  <si>
    <t>CONN HEADER VERT 3POS 2MM Connector Header Through Hole 3 position 0.079" (2.00mm)</t>
  </si>
  <si>
    <t>PH</t>
  </si>
  <si>
    <t>https://www.jst-mfg.com/product/pdf/eng/ePH.pdf</t>
  </si>
  <si>
    <t>https://uk.farnell.com/productimages/standard/en_GB/9492429-40.jpg</t>
  </si>
  <si>
    <t>B3B-XH-A(LF)(SN)</t>
  </si>
  <si>
    <t>CONN HEADER VERT 3POS 2.5MM Connector Header Through Hole 3 position 0.098" (2.50mm)</t>
  </si>
  <si>
    <t>XH</t>
  </si>
  <si>
    <t>https://www.jst-mfg.com/product/pdf/eng/eXH.pdf</t>
  </si>
  <si>
    <t>https://media.digikey.com/photos/JST%20Photos/B3B-XH-A(LF)(SN).jpg</t>
  </si>
  <si>
    <t>RF/Coaxial Connectors</t>
  </si>
  <si>
    <t>RF/Coaxial connectors are designed to work at radio frequencies.They are typically found in telecommunication equipment.</t>
  </si>
  <si>
    <t>U.FL-R-SMT-1(80)</t>
  </si>
  <si>
    <t>Hirose Electric Co Ltd</t>
  </si>
  <si>
    <t>Coaxial Connectors</t>
  </si>
  <si>
    <t>CONN U.FL RCPT STR 50 OHM SMD U.FL (UMCC) Connector Receptacle Male Pin 50Ohm Surface Mount Solder</t>
  </si>
  <si>
    <t>U.FL</t>
  </si>
  <si>
    <t>https://www.hirose.com/en/product/document?clcode=CL0331-0472-2-80&amp;productname=U.FL-R-SMT-1(80)&amp;series=U.FL&amp;documenttype=SpecSheet&amp;lang=en&amp;documentid=0000266838</t>
  </si>
  <si>
    <t>https://media.digikey.com/photos/Hirose%20Elect%20Photos/U.FL-R-SMT(01).jpg</t>
  </si>
  <si>
    <t>USB Connectors</t>
  </si>
  <si>
    <t>USB connectors are shielded rectangular connectors with one or more balanced data pairs and power connectionsUSB connectors are ubiquitous in computer and mobile applications, they are used for PC peripheral connectivity, mobile phones, memory drives and external hard drives.</t>
  </si>
  <si>
    <t>2305018-2</t>
  </si>
  <si>
    <t>TE Connectivity</t>
  </si>
  <si>
    <t>C Type Connectors</t>
  </si>
  <si>
    <t>CONN RCP USB3.1 TYPEC 24P SMD USB-C (USB TYPE-C) USB 3.2 Gen 2 (USB 3.1 Gen 2 Superspeed + (USB 3.1))</t>
  </si>
  <si>
    <t>https://www.te.com/commerce/DocumentDelivery/DDEController?Action=srchrtrv&amp;DocNm=2305018&amp;DocType=Customer+Drawing&amp;DocLang=English&amp;DocFormat=pdf&amp;PartCntxt=2305018-2</t>
  </si>
  <si>
    <t>https://media.digikey.com/Photos/TE%20Connectivity/MFG_2305018-2.jpg</t>
  </si>
  <si>
    <t>10118194-0001LF</t>
  </si>
  <si>
    <t>Amphenol Communications Solutions</t>
  </si>
  <si>
    <t>Micro B Connectors</t>
  </si>
  <si>
    <t>CONN RCPT USB2.0 MICRO B SMD USB - micro B USB 2.0</t>
  </si>
  <si>
    <t>https://cdn.amphenol-cs.com/media/wysiwyg/files/documentation/datasheet/inputoutput/io_usb_micro.pdf</t>
  </si>
  <si>
    <t>https://media.digikey.com/Photos/FCI%20Photos/10118194-0001LF.JPG</t>
  </si>
  <si>
    <t>Molex</t>
  </si>
  <si>
    <t>CONN UMC RCPT STR 50 OHM SMDU.FL (UMCC) Connector Receptacle Male Pin 50Ohm Surface Mount Solder</t>
  </si>
  <si>
    <t>https://www.molex.com/pdm_docs/sd/734120110_sd.pdf</t>
  </si>
  <si>
    <t>https://media.digikey.com/Photos/Molex/73412-0110.jpg</t>
  </si>
  <si>
    <t>B4B-PH-K-S(LF)(SN)</t>
  </si>
  <si>
    <t>CONN HEADER VERT 4POS 2MM Connector Header Through Hole 4 position 0.079" (2.00mm)</t>
  </si>
  <si>
    <t>https://media.digikey.com/photos/JST%20Photos/B4B-PH-K-S.jpg</t>
  </si>
  <si>
    <t>PZ254V-11-05P</t>
  </si>
  <si>
    <t>XFCN</t>
  </si>
  <si>
    <t>5 2.54mm Straight 1 Header，Breakaway Through HoleP=2.54mm Pin Headers ROHS</t>
  </si>
  <si>
    <t>https://datasheet.lcsc.com/lcsc/2003141409_XFCN-PZ254V-11-05P_C492404.pdf</t>
  </si>
  <si>
    <t>https://assets.lcsc.com/images/lcsc/900x900/20230119_XFCN-PZ254V-11-05P_C492404_front.jpg</t>
  </si>
  <si>
    <t>Straight</t>
  </si>
  <si>
    <t>920-E52A2021S10100</t>
  </si>
  <si>
    <t>Jing Extension of the Electronic Co.</t>
  </si>
  <si>
    <t>Receptacle USB - Micro B 5 USB 2.0 SMD USB Connectors ROHS</t>
  </si>
  <si>
    <t>https://datasheet.lcsc.com/lcsc/2103051832_Jing-Extension-of-the-Electronic-Co--920-E52A2021S10100_C10418.pdf</t>
  </si>
  <si>
    <t>https://assets.lcsc.com/images/lcsc/900x900/20200703_Jing-Extension-of-the-Electronic-Co--920-E52A2021S10100_C10418_front.jpg</t>
  </si>
  <si>
    <t>10118192-0001LF</t>
  </si>
  <si>
    <t>https://media.digikey.com/Photos/Amphenol%20Photos/10118192-0001LF.jpg</t>
  </si>
  <si>
    <t>SIM Card Connectors</t>
  </si>
  <si>
    <t>A SIM card connector is a 6- to 8-pin connector primarily used as SIM card readers in smartphones and other mobile devices.</t>
  </si>
  <si>
    <t>C77877</t>
  </si>
  <si>
    <t>BOOMELE(Boom Precision Elec)</t>
  </si>
  <si>
    <t>Nano SIM Card Connectors</t>
  </si>
  <si>
    <t>Connector SIM Card 6 6PIN Card Sockets</t>
  </si>
  <si>
    <t>https://datasheet.lcsc.com/lcsc/1810251313_BOOMELE-Boom-Precision-Elec-NANO-SIM-6PIN_C77877.pdf</t>
  </si>
  <si>
    <t>https://assets.lcsc.com/images/lcsc/900x900/20221231_BOOMELE-Boom-Precision-Elec-NANO-SIM-6PIN_C77877_front.jpg</t>
  </si>
  <si>
    <t xml:space="preserve">CONN HEADER VERT 11POS 2.54MMConnector Header Through Hole 11 position </t>
  </si>
  <si>
    <t>KK254, 6373</t>
  </si>
  <si>
    <t>https://www.molex.com/pdm_docs/sd/022232111_sd.pdf</t>
  </si>
  <si>
    <t>https://media.digikey.com/photos/Molex/22-23-2111.jpg</t>
  </si>
  <si>
    <t>Memory Connectors</t>
  </si>
  <si>
    <t>Sockets for storage devices provide reliable contacts and mechanical support for storage.Some examples are MMC, SD, SIM, DIMM and Compact Flash.</t>
  </si>
  <si>
    <t>CONN SMART CARD PUSH-PULL
6 Position Card Connector NANO SIM Surface Mount Right Angle Gold</t>
  </si>
  <si>
    <t>WR-CRD</t>
  </si>
  <si>
    <t>https://www.we-online.com/components/products/datasheet/693043020611.pdf</t>
  </si>
  <si>
    <t>https://media.digikey.com/Photos/Wurth%20Electronics%20Photos/MFG_693043020611.jpg</t>
  </si>
  <si>
    <t>B2B-PH-K-S(LF)(SN</t>
  </si>
  <si>
    <t>CONN HEADER VERT 2POS 2MM Connector Header Through Hole 2 position 0.079"</t>
  </si>
  <si>
    <t>https://media.digikey.com/photos/JST%20Photos/B2B-PH-K-S.jpg</t>
  </si>
  <si>
    <t>Micro SIM Connectors</t>
  </si>
  <si>
    <t>MICRO-SIM CARD CONNECTOR PIN 6 Position Card Connector Micro SIM Surface Mount</t>
  </si>
  <si>
    <t>https://www.literature.molex.com/SQLImages/kelmscott/Molex/PDF_Images/987651-3481.pdf</t>
  </si>
  <si>
    <t>https://media.digikey.com/photos/Molex/MFG_5050200692.jpg</t>
  </si>
  <si>
    <t>USB Micro B Connectors</t>
  </si>
  <si>
    <t>CONN RCPT MICRO USB B 5POS SMDUSB - micro B Receptacle Connector 5 Position</t>
  </si>
  <si>
    <t>https://www.molex.com/pdm_docs/sd/476420001_sd.pdf</t>
  </si>
  <si>
    <t>https://media.digikey.com/Photos/Molex/0476420001.jpg</t>
  </si>
  <si>
    <t>Board Edge</t>
  </si>
  <si>
    <t>PHR-13</t>
  </si>
  <si>
    <t>Wire Housings</t>
  </si>
  <si>
    <t>CONN HOUSING PH 13POS 2MM 13 Rectangular Connectors - Housings Receptacle Natural 0.079" (2.00mm)</t>
  </si>
  <si>
    <t>https://media.digikey.com/photos/JST%20Photos/PHR-13.jpg</t>
  </si>
  <si>
    <t>Free Hanging</t>
  </si>
  <si>
    <t>S4B-PH-KL(LF)(SN)</t>
  </si>
  <si>
    <t>CONN HEADER R/A 4POS 2MMConnector Header Through Hole Right Angle 4 position 0.079" (2.00mm)</t>
  </si>
  <si>
    <t>https://assets.lcsc.com/images/lcsc/900x900/20180926_JST-Sales-America-S4B-PH-KL-LF-SN_C160235_front.jpg</t>
  </si>
  <si>
    <t>3221-16-0300-00</t>
  </si>
  <si>
    <t>CNC Tech</t>
  </si>
  <si>
    <t>CONN HEADER SMD 16POS 1.27MMConnector Header Surface Mount 16 position 0.050" (1.27mm)</t>
  </si>
  <si>
    <t>http://www.cnctech.us/pdfs/3221-XX-0300-00_.pdf</t>
  </si>
  <si>
    <t>https://media.digikey.com/photos/CnC%20Tech/3221-16-0300-00.JPG</t>
  </si>
  <si>
    <t>20021111-00010T4LF</t>
  </si>
  <si>
    <t>CONN HEADER VERT 10POS 1.27MMConnector Header Through Hole 10 position</t>
  </si>
  <si>
    <t>Minitek127® 1.27mm</t>
  </si>
  <si>
    <t>https://cdn.amphenol-cs.com/media/wysiwyg/files/drawing/20021111.pdf</t>
  </si>
  <si>
    <t>https://media.digikey.com/Photos/FCI%20Photos/20021111-00010T4LF.JPG</t>
  </si>
  <si>
    <t>Z-211-0611-0021-001</t>
  </si>
  <si>
    <t>Nextron(Nextronics Engineering)</t>
  </si>
  <si>
    <t>2.54mm 6 Straight 1 Header，Breakaway P=2.54mm Pin Headers ROHS</t>
  </si>
  <si>
    <t>https://datasheet.lcsc.com/lcsc/1811151537_Nextron-Nextronics-Engineering-Z-211-0611-0021-001_C190819.pdf</t>
  </si>
  <si>
    <t>https://assets.lcsc.com/images/lcsc/900x900/20180914_Nextron-Nextronics-Engineering-Z-211-0611-0021-001_C190819_front.jpg</t>
  </si>
  <si>
    <t>Battery Connectors</t>
  </si>
  <si>
    <t>Battery connectors are engineered to connect a battery in a small electronic product.</t>
  </si>
  <si>
    <t>1060TR</t>
  </si>
  <si>
    <t>Keystone</t>
  </si>
  <si>
    <t>Battery Base</t>
  </si>
  <si>
    <t>SMD Battery Connectors ROHS</t>
  </si>
  <si>
    <t>https://www.keyelco.com/product-pdf.cfm?p=3936</t>
  </si>
  <si>
    <t>https://www.keyelco.com/assets/product_images/1060.jpg</t>
  </si>
  <si>
    <t>210-91-04GB01</t>
  </si>
  <si>
    <t>PINREX</t>
  </si>
  <si>
    <t>2.54mm Straight 1x4 Header，Breakaway Through Hole Pin Headers ROHS</t>
  </si>
  <si>
    <t>https://pinrex.com.tw/Upload/product/product_202011061741182.pdf</t>
  </si>
  <si>
    <t>https://assets.lcsc.com/images/lcsc/900x900/20230113_PINREX-210-91-04GB01_C390680_front.jpg</t>
  </si>
  <si>
    <t>AC/DC Power Connectors</t>
  </si>
  <si>
    <t>These are used to connect an apparatus to a power source, whether it’s an AC or DC power source.</t>
  </si>
  <si>
    <t>DC-005-5A-2.5SMT</t>
  </si>
  <si>
    <t>DC Power Connectors</t>
  </si>
  <si>
    <t>-XKB Connectivity DC-005-5A-2.5-SMT</t>
  </si>
  <si>
    <t>https://datasheet.lcsc.com/lcsc/2208041700_XKB-Connectivity-DC-005-5A-2-5-SMT_C319133.pdf</t>
  </si>
  <si>
    <t>https://assets.lcsc.com/images/lcsc/900x900/20220804_XKB-Connectivity-DC-005-5A-2-5-SMT_C319133_front.jpg</t>
  </si>
  <si>
    <t>Screw Terminals</t>
  </si>
  <si>
    <t>A screw terminal is a type of electrical connection where a wire is held by the tightening of a screw.</t>
  </si>
  <si>
    <t>JL301-50002U02</t>
  </si>
  <si>
    <t>JILN</t>
  </si>
  <si>
    <t>2 Plugin Screw Terminals</t>
  </si>
  <si>
    <t>2 PluginP=5mm Screw terminal</t>
  </si>
  <si>
    <t>http://www.szjiln.com/upload/portal/20220504/202205041739577094.pdf</t>
  </si>
  <si>
    <t>http://www.szjiln.com/upload/portal/20220401/202204011132263743.png</t>
  </si>
  <si>
    <t>WJ301V-5.0-3P</t>
  </si>
  <si>
    <t>Ningbo Kangnex Elec</t>
  </si>
  <si>
    <t>3 Plugin Screw Terminals</t>
  </si>
  <si>
    <t>3 PluginP=5mm Screw terminal</t>
  </si>
  <si>
    <t>https://datasheet.lcsc.com/lcsc/1912251636_Ningbo-Kangnex-Elec-WJ301V-5-0-3P_C8483.pdf</t>
  </si>
  <si>
    <t>https://assets.lcsc.com/images/lcsc/900x900/20200708_Ningbo-Kangnex-Elec-WJ301V-5-0-3P_C8483_front.jpg</t>
  </si>
  <si>
    <t>20021121-00010C4LF</t>
  </si>
  <si>
    <t>2 Surface Mount 10 Header，Breakaway 1.27mm P=1.27mm Pin Headers ROHS</t>
  </si>
  <si>
    <t>https://media.digikey.com/pdf/Data%20Sheets/FCI%20PDFs/Minitek%20127_Catalog.pdf</t>
  </si>
  <si>
    <t>https://assets.lcsc.com/images/lcsc/900x900/20180914_Amphenol-ICC-20021121-00010C4LF_C150517_front.jpg</t>
  </si>
  <si>
    <t>FFC/FPC Connectors</t>
  </si>
  <si>
    <t>Flexible flat cable, flexible printed circuit connectors allow high density interconnections at low voltage and current ratings</t>
  </si>
  <si>
    <t>AFC01-S40FCA-00</t>
  </si>
  <si>
    <t>JUSHUO</t>
  </si>
  <si>
    <t>Clam Shell</t>
  </si>
  <si>
    <t>40 0.020"（0.50mm） 0.079"（2.00mm） Forward Slip ContactBottom P=0.5mm FFC/FPC Connectors ROHS</t>
  </si>
  <si>
    <t>https://datasheet.lcsc.com/lcsc/1811021330_JUSHUO-AFC01-S40FCA-00_C262674.pdf</t>
  </si>
  <si>
    <t>https://assets.lcsc.com/images/lcsc/900x900/20230110_JUSHUO-AFC01-S40FCA-00_C262674_front.jpg</t>
  </si>
  <si>
    <t>292303-1</t>
  </si>
  <si>
    <t>USB A Type Connectors</t>
  </si>
  <si>
    <t>CONN RCPT USB2.0 TYPEA 4POS R/AUSB-A (USB TYPE-A) USB 2.0 Receptacle Connector 4 Position Through Hole Right Angle</t>
  </si>
  <si>
    <t>https://www.te.com/commerce/DocumentDelivery/DDEController?Action=srchrtrv&amp;DocNm=292303&amp;DocType=Customer+Drawing&amp;DocLang=English</t>
  </si>
  <si>
    <t>https://media.digikey.com/photos/Tyco%20Photos/292303-1.JPG</t>
  </si>
  <si>
    <t>825433-3</t>
  </si>
  <si>
    <t>3 2.54mm Straight 1 Header，Breakaway Through Hole Pin Headers ROHS</t>
  </si>
  <si>
    <t>AMPMODU Mod II</t>
  </si>
  <si>
    <t>https://www.te.com/commerce/DocumentDelivery/DDEController?Action=srchrtrv&amp;DocNm=825433&amp;DocType=Customer+Drawing&amp;DocLang=English</t>
  </si>
  <si>
    <t>https://media.digikey.com/Renders/TE%20Connectivity/Breakaway-Vert-3-Gold-Pins-Green.jpg</t>
  </si>
  <si>
    <t>640456-3 C86503</t>
  </si>
  <si>
    <t>Connector Header Through Hole 3 position</t>
  </si>
  <si>
    <t>MTA-100</t>
  </si>
  <si>
    <t>https://www.te.com/commerce/DocumentDelivery/DDEController?Action=srchrtrv&amp;DocNm=640456&amp;DocType=Customer+Drawing&amp;DocLang=English</t>
  </si>
  <si>
    <t>https://media.digikey.com/photos/Tyco%20Amp%20Photos/640456-3,%20640454-3.jpg</t>
  </si>
  <si>
    <t>USB3070-30-A</t>
  </si>
  <si>
    <t>GCT</t>
  </si>
  <si>
    <t>MICRO B SKT MID MOUNT-SMT R/AUSB - micro B USB 2.0 Receptacle Connector 5 Position</t>
  </si>
  <si>
    <t>USB3070</t>
  </si>
  <si>
    <t>https://gct.co/files/specs/usb3070-spec.pdf</t>
  </si>
  <si>
    <t>https://media.digikey.com/Photos/GCT/MFG_USB3070-30-A.jpg</t>
  </si>
  <si>
    <t>MTP125-1105S1</t>
  </si>
  <si>
    <t>MINTRON</t>
  </si>
  <si>
    <t>Straight Square Pins 2.5mm 6mm -40℃~+105℃ 1 3mm 5 2.54mm Black Brass 1x5P PluginP=2.54mm Pin Headers ROHS</t>
  </si>
  <si>
    <t>https://datasheet.lcsc.com/lcsc/1912111437_MINTRON-MTP125-1105S1_C358687.pdf</t>
  </si>
  <si>
    <t>https://assets.lcsc.com/images/lcsc/900x900/20190121_MINTRON-MTP125-1105S1_C358687_back.jpg</t>
  </si>
  <si>
    <t>DF13-2P-1.25H(21)</t>
  </si>
  <si>
    <t>CONN HEADER SMD R/A 2POS 1.25MM Connector Header Surface Mount Right Angle 2 position 0.049" (1.25mm)</t>
  </si>
  <si>
    <t>DF13</t>
  </si>
  <si>
    <t>https://www.hirose.com/product/document?clcode=CL0536-0109-0-76&amp;productname=DF13-10P-1.25DSA(76)&amp;series=DF13&amp;documenttype=Catalog&amp;lang=en&amp;documentid=D31687_en</t>
  </si>
  <si>
    <t>https://media.digikey.com/photos/Hirose%20Elect%20Photos/DF13-2P-1.25H(20).jpg</t>
  </si>
  <si>
    <t>WJ126V-5.0-6P</t>
  </si>
  <si>
    <t>6 Plugin Screw Terminals</t>
  </si>
  <si>
    <t>6 Plugin P=5mm Screw terminal ROHS</t>
  </si>
  <si>
    <t>https://datasheet.lcsc.com/lcsc/1912251632_Ningbo-Kangnex-Elec-WJ126V-5-0-6P_C8379.pdf</t>
  </si>
  <si>
    <t>https://assets.lcsc.com/images/lcsc/900x900/20200730_Ningbo-Kangnex-Elec-WJ126V-5-0-6P_C8379_front.jpg</t>
  </si>
  <si>
    <t>PHR-2</t>
  </si>
  <si>
    <t>Housings</t>
  </si>
  <si>
    <t>CONN RCPT HSG 2POS 2.00MM 2 Rectangular Connectors</t>
  </si>
  <si>
    <t>https://media.digikey.com/photos/JST%20Photos/PHR-2.jpg</t>
  </si>
  <si>
    <t>TF-002T-15</t>
  </si>
  <si>
    <t>SOFNG</t>
  </si>
  <si>
    <t>Deck MicroSD card (TF card) Clamshell SMD SD Card Connectors</t>
  </si>
  <si>
    <t>https://datasheet.lcsc.com/lcsc/1810121710_SOFNG-TF-002T-15_C125616.pdf</t>
  </si>
  <si>
    <t>https://assets.lcsc.com/images/lcsc/900x900/20180914_SOFNG-TF-002T-15_C125616_front_10.jpg</t>
  </si>
  <si>
    <t>Wire to Wire/Wire to Board Connectors</t>
  </si>
  <si>
    <t>Wire to board connectors or PCB wire connectors are fundamental set of connectors to establish a connection between a wire and a printed circuit board (PCB)</t>
  </si>
  <si>
    <t>B13B-PH-K-S(LF)(SN)</t>
  </si>
  <si>
    <t>Wire to Board Connectors</t>
  </si>
  <si>
    <t>1x13P PH 1 2mm 13 Brass StraightP=2mm Wire To Board / Wire To Wire Connector</t>
  </si>
  <si>
    <t>https://datasheet.lcsc.com/lcsc/1810261120_JST-Sales-America-B13B-PH-K-S-LF-SN_C158026.pdf</t>
  </si>
  <si>
    <t>https://assets.lcsc.com/images/lcsc/900x900/20180914_JST-Sales-America-B13B-PH-K-S-LF-SN_C158026_front.jpg</t>
  </si>
  <si>
    <t>Optoelectronics</t>
  </si>
  <si>
    <t>Optoelectronic components are designed to transform light into an electrical signal or to transform an electrical signal into light. Examples of these types of components are optocouplers, LEDs and displays.</t>
  </si>
  <si>
    <t>Diodes</t>
  </si>
  <si>
    <t>Two-terminal electronic devices that typically conduct current in a single direction</t>
  </si>
  <si>
    <t>LTST-C190KGKT</t>
  </si>
  <si>
    <t>Lite-On Inc.</t>
  </si>
  <si>
    <t>LEDs</t>
  </si>
  <si>
    <t>LED GREEN CLEAR CHIP SMD</t>
  </si>
  <si>
    <t>https://optoelectronics.liteon.com/upload/download/DS22-2000-074/LTST-C190KGKT.PDF</t>
  </si>
  <si>
    <t>https://media.digikey.com/photos/Lite%20On%20Photos/LTST-C190KGKT,LTST-C190KRKT,LTST-C190KSKT,LTST-C190KYKT.jpg</t>
  </si>
  <si>
    <t xml:space="preserve">LED 0603 </t>
  </si>
  <si>
    <t>LTST-C150KGKT</t>
  </si>
  <si>
    <t>LED GREEN CLEAR 1206 SMD</t>
  </si>
  <si>
    <t>https://optoelectronics.liteon.com/upload/download/DS22-2000-072/LTST-C150KGKT.PDF</t>
  </si>
  <si>
    <t>https://media.digikey.com/photos/Lite%20On%20Photos/LTST-C150TBKT,LTST-C150KAKT,LTST-C150KGKT.jpg</t>
  </si>
  <si>
    <t>LED 1206</t>
  </si>
  <si>
    <t>LTST-C170KGKT</t>
  </si>
  <si>
    <t>LED GREEN CLEAR SMD</t>
  </si>
  <si>
    <t>https://optoelectronics.liteon.com/upload/download/DS22-2000-073/LTST-C170KGKT.PDF</t>
  </si>
  <si>
    <t>https://media.digikey.com/photos/Lite%20On%20Photos/LTST-C170KGKT,LTST-C170KRKT,LTST-C170KSKT.jpg</t>
  </si>
  <si>
    <t xml:space="preserve">LED 0805 </t>
  </si>
  <si>
    <t>19-217/BHC-AN1P2/3T</t>
  </si>
  <si>
    <t>Everlight Elec</t>
  </si>
  <si>
    <t>Blue 464.5~476.5nm SMD,1.6x0.8x0.8mm Light Emitting Diodes (LED) ROHS</t>
  </si>
  <si>
    <t>https://datasheet.lcsc.com/lcsc/1811141751_Everlight-Elec-19-21-BHC-AN1P2-3T_C282129.pdf</t>
  </si>
  <si>
    <t>https://assets.lcsc.com/images/lcsc/900x900/20180929_Everlight-Elec-19-21-BHC-AN1P2-3T_C282129_front.jpg</t>
  </si>
  <si>
    <t>BL-HGE37A-AV-TRB</t>
  </si>
  <si>
    <t>American Bright Optoelectronics Corporation</t>
  </si>
  <si>
    <t>0402 YELLOW GREEN</t>
  </si>
  <si>
    <t>https://www.americanbrightled.com/pdffiles/led-components/smt/BL-HGE37A-TRB.pdf</t>
  </si>
  <si>
    <t>https://media.digikey.com/Renders/American-Bright-Optoelectronics-Corporation/BL-HGE37A-AV-TRB.jpg</t>
  </si>
  <si>
    <t>LED 0402</t>
  </si>
  <si>
    <t>TJ-S1005SW4TGLC7K-A5</t>
  </si>
  <si>
    <t>TOGIALED</t>
  </si>
  <si>
    <t>Green-yellow 573nm 0402 Light Emitting Diodes (LED) ROHS</t>
  </si>
  <si>
    <t>https://datasheet.lcsc.com/lcsc/1810191242_TOGIALED-TJ-S1005SW4TGLC7K-A5_C273601.pdf</t>
  </si>
  <si>
    <t>https://assets.lcsc.com/images/lcsc/900x900/20230109_TOGIALED-TJ-S1005SW4TGLC7K-A5_C273601_front.jpg</t>
  </si>
  <si>
    <t>2SA0402S11A0JT01</t>
  </si>
  <si>
    <t>Brightek Optoelectronics</t>
  </si>
  <si>
    <t>Red 615~635nm 0402 Light Emitting Diodes (LED) ROHS</t>
  </si>
  <si>
    <t>https://datasheet.lcsc.com/lcsc/1808291043_Brightek-Optoelectronics-2SA0402S11A0JT01_C233194.pdf</t>
  </si>
  <si>
    <t>https://assets.lcsc.com/images/lcsc/900x900/20180914_Brightek-Optoelectronics-2SA0402S11A0JT01_C233194_front.jpg</t>
  </si>
  <si>
    <t>TJ-S1005SW4TGO6B-A5</t>
  </si>
  <si>
    <t>Blue 465nm 0402 Light Emitting Diodes (LED) ROHS</t>
  </si>
  <si>
    <t>https://datasheet.lcsc.com/lcsc/1810191242_TOGIALED-TJ-S1005SW4TGLC6B-A5_C273603.pdf</t>
  </si>
  <si>
    <t>https://assets.lcsc.com/images/lcsc/900x900/20230109_TOGIALED-TJ-S1005SW4TGLC6B-A5_C273603_front.jpg</t>
  </si>
  <si>
    <t>KPHHS1005CGCK</t>
  </si>
  <si>
    <t>Kingbright</t>
  </si>
  <si>
    <t>https://www.kingbright.com/attachments/file/psearch/000/00/00/KPHHS-1005CGCK(Ver.24B).pdf</t>
  </si>
  <si>
    <t>https://media.digikey.com/photos/Kingbright%20Photos/APHHS1005QBC%5ED.jpg</t>
  </si>
  <si>
    <t>SM4014UWDC02</t>
  </si>
  <si>
    <t>Bivar Inc.</t>
  </si>
  <si>
    <t>LED, SURFACE MOUNT, SM4014, 0.2W</t>
  </si>
  <si>
    <t>https://media.digikey.com/pdf/Data%20Sheets/Bivar%20Inc%20PDFs/SM4014_Series.pdf</t>
  </si>
  <si>
    <t>https://media.digikey.com/Photos/Bivar%20Inc%20Photos/MFG_SM4014.jpg</t>
  </si>
  <si>
    <t>LED 4014</t>
  </si>
  <si>
    <t>WS2812B</t>
  </si>
  <si>
    <t>Worldsemi</t>
  </si>
  <si>
    <t>ADDRESS LED DISCRETE SERIAL RGB</t>
  </si>
  <si>
    <t>http://cdn.sparkfun.com/datasheets/BreakoutBoards/WS2812B.pdf</t>
  </si>
  <si>
    <t>https://media.digikey.com/Photos/Sparkfun%20Elec%20%20Photos/MFG_COM-13667.jpg</t>
  </si>
  <si>
    <t>LTST-C193TBKT-5A</t>
  </si>
  <si>
    <t>LED BLUE CLEAR CHIP SMD</t>
  </si>
  <si>
    <t>https://media.digikey.com/pdf/Data%20Sheets/Lite-On%20PDFs/LTST-C193TBKT-5A.pdf</t>
  </si>
  <si>
    <t>https://media.digikey.com/Renders/Lite%20On%20Renders/LTST-C193TBKT-5A.jpg</t>
  </si>
  <si>
    <t>19-21SYGC/S530-E2/TR8</t>
  </si>
  <si>
    <t>Green-yellow 573nm 0603 Light Emitting Diodes (LED) ROHS</t>
  </si>
  <si>
    <t>https://datasheet.lcsc.com/lcsc/1811081329_Everlight-Elec-19-21SYGC-S530-E2-TR8_C136120.pdf</t>
  </si>
  <si>
    <t>https://assets.lcsc.com/images/lcsc/900x900/20180914_Everlight-Elec-19-21SYGC-S530-E2-TR8_C136120_front.jpg</t>
  </si>
  <si>
    <t>LTST-C191KRKT</t>
  </si>
  <si>
    <t>LED RED CLEAR SMD</t>
  </si>
  <si>
    <t>https://optoelectronics.liteon.com/upload/download/DS22-2000-223/LTST-C191KRKT.PDF</t>
  </si>
  <si>
    <t>https://media.digikey.com/Renders/Lite%20On%20Renders/LTST-C191TGKT.jpg</t>
  </si>
  <si>
    <t>TJ-S1608SW6TGLC2G-A5</t>
  </si>
  <si>
    <t>Green 520~530nm 2.8~3.4V 0603 Light Emitting Diodes (LED) ROHS</t>
  </si>
  <si>
    <t>https://datasheet.lcsc.com/lcsc/1811141223_TOGIALED-TJ-S1608SW6TGLC2G-A5_C192316.pdf</t>
  </si>
  <si>
    <t>https://assets.lcsc.com/images/lcsc/900x900/20230103_TOGIALED-TJ-S1608SW6TGLC2G-A5_C192316_front.jpg</t>
  </si>
  <si>
    <t>LTST-C191KGKT</t>
  </si>
  <si>
    <t>Green-yellow 567.5~576.5nm 0603 Light Emitting Diodes (LED) ROHS</t>
  </si>
  <si>
    <t>https://optoelectronics.liteon.com/upload/download/DS22-2000-228/LTST-C191KGKT.PDF</t>
  </si>
  <si>
    <t>https://assets.lcsc.com/images/lcsc/900x900/20230102_Lite-On-LTST-C191KGKT_C125098_front.jpg</t>
  </si>
  <si>
    <t>WS2812B-Mini</t>
  </si>
  <si>
    <t>SMD,3.5x3.5mm New Arrivals ROHS</t>
  </si>
  <si>
    <t>http://www.world-semi.com/DownLoadProFile/202</t>
  </si>
  <si>
    <t>http://www.world-semi.com/upload/productimg/201812011241570.jpg</t>
  </si>
  <si>
    <t>SMD</t>
  </si>
  <si>
    <t>Discrete Semiconductors</t>
  </si>
  <si>
    <t>Devices designed to perform basic electronic functions such as rectification (diodes), amplification (transistors) and switching (transistors and thyristors)</t>
  </si>
  <si>
    <t>SS14</t>
  </si>
  <si>
    <t>onsemi</t>
  </si>
  <si>
    <t>Schottky Diodes</t>
  </si>
  <si>
    <t>DIODE SCHOTTKY 40V 1A SMA</t>
  </si>
  <si>
    <t>https://www.onsemi.com/pdf/datasheet/ss19-d.pdf</t>
  </si>
  <si>
    <t>https://media.digikey.com/Photos/Fairchild%20Semi%20Photos/S1J.jpg</t>
  </si>
  <si>
    <t>DO-214AC (SMA)</t>
  </si>
  <si>
    <t>DFLS1100-7</t>
  </si>
  <si>
    <t>Diodes Incorporated</t>
  </si>
  <si>
    <t>Rectifier Diodes</t>
  </si>
  <si>
    <t>Diode 100 V 1A Surface Mount PowerDI™ 123</t>
  </si>
  <si>
    <t>https://www.diodes.com/assets/Datasheets/ds30497.pdf</t>
  </si>
  <si>
    <t>https://media.digikey.com/Renders/Diodes%20Renders/POWERDI%20123.jpg</t>
  </si>
  <si>
    <t>POWERDI123</t>
  </si>
  <si>
    <t>Transistors</t>
  </si>
  <si>
    <t>Three-terminal electronic devices used for signal amplification and switching.We may classify them into two main groups BJTs bipolar junction transistors and FETs field effect transistors</t>
  </si>
  <si>
    <t>PBSS8110TVL</t>
  </si>
  <si>
    <t>Nexperia USA Inc.</t>
  </si>
  <si>
    <t>BJTs</t>
  </si>
  <si>
    <t>PBSS8110T/SOT23/TO-236AB</t>
  </si>
  <si>
    <t>https://assets.nexperia.com/documents/data-sheet/PBSS8110T.pdf</t>
  </si>
  <si>
    <t>https://assets.nexperia.com/documents/outline-3d/sot23_3d.png</t>
  </si>
  <si>
    <t>TO-236AB</t>
  </si>
  <si>
    <t>BAL74,215</t>
  </si>
  <si>
    <t>DIODE GEN PURP 50V 215MA</t>
  </si>
  <si>
    <t>https://assets.nexperia.com/documents/data-sheet/BAL74.pdf</t>
  </si>
  <si>
    <t>TO236AB</t>
  </si>
  <si>
    <t>S1A-13-F</t>
  </si>
  <si>
    <t>DIODE GEN PURP 50V 1A SMA</t>
  </si>
  <si>
    <t>https://www.diodes.com/assets/Datasheets/ds16003.pdf</t>
  </si>
  <si>
    <t>https://media.digikey.com/Renders/Diodes%20Renders/DO-214AA_SMB.jpg</t>
  </si>
  <si>
    <t>SMA</t>
  </si>
  <si>
    <t>PMEG3010ER,115</t>
  </si>
  <si>
    <t>DIODE SCHOTTKY 30V 1A CFP3</t>
  </si>
  <si>
    <t>https://assets.nexperia.com/documents/data-sheet/PMEG3010ER.pdf</t>
  </si>
  <si>
    <t>https://media.digikey.com/Renders/Nexperia/1727;SOD123W;;2.jpg</t>
  </si>
  <si>
    <t>SOD-123W</t>
  </si>
  <si>
    <t>MBRM140T1G</t>
  </si>
  <si>
    <t>DIODE SCHOTTKY 40V 1A</t>
  </si>
  <si>
    <t>https://www.onsemi.com/pdf/datasheet/mbrm140-d.pdf</t>
  </si>
  <si>
    <t>https://media.digikey.com/photos/On%20Semi%20Photos/POWERMITE.jpg</t>
  </si>
  <si>
    <t>DO-216AA</t>
  </si>
  <si>
    <t>MBR120VLSFT1G</t>
  </si>
  <si>
    <t>DIODE SCHOTTKY 20V 1A</t>
  </si>
  <si>
    <t>https://www.onsemi.com/pdf/datasheet/mbr120vlsft1-d.pdf</t>
  </si>
  <si>
    <t>https://media.digikey.com/Renders/On%20Semi%20Renders/SOD-123_498.jpg</t>
  </si>
  <si>
    <t>SOD123FL</t>
  </si>
  <si>
    <t>SS34-E3/57T</t>
  </si>
  <si>
    <t>Vishay Intertechnology, Inc.</t>
  </si>
  <si>
    <t>DIODE SCHOTTKY 40V 3A DO214AB</t>
  </si>
  <si>
    <t>https://www.vishay.com/docs/88751/ss32.pdf</t>
  </si>
  <si>
    <t>https://www.vishay.com/images/product-images/pt-large/88751-pt-large.jpg</t>
  </si>
  <si>
    <t>DO-214AB (SMC)</t>
  </si>
  <si>
    <t>MMSZ5231BT1G</t>
  </si>
  <si>
    <t>Zener Diodes</t>
  </si>
  <si>
    <t>DIODE ZENER 5.1V 500MW SOD123</t>
  </si>
  <si>
    <t>https://www.onsemi.com/pdf/datasheet/mmsz5221bt1-d.pdf</t>
  </si>
  <si>
    <t>https://media.digikey.com/Renders/On%20Semi%20Renders/SOD-123_425.jpg</t>
  </si>
  <si>
    <t>SOD-123</t>
  </si>
  <si>
    <t>Circuit Protections</t>
  </si>
  <si>
    <t>Devices that are used to protect electrical circuits from damage</t>
  </si>
  <si>
    <t>Transient Voltage Suppressors (TVS)</t>
  </si>
  <si>
    <t>ESD9B3.3ST5G</t>
  </si>
  <si>
    <t>TVS Diodes</t>
  </si>
  <si>
    <t>TVS DIODE 3.3VWM 11.5VC SOD923</t>
  </si>
  <si>
    <t>https://www.onsemi.cn/pdf/datasheet/esd9b-d.pdf</t>
  </si>
  <si>
    <t>https://media.digikey.com/Renders/On%20Semi%20Renders/SOD-923_514AB.jpg</t>
  </si>
  <si>
    <t>SOD-923</t>
  </si>
  <si>
    <t>BZD27C5V1P_R1_00001</t>
  </si>
  <si>
    <t>5.1V 5uA @ 1V 800mW SOD-123FL Zener Diodes ROHS</t>
  </si>
  <si>
    <t>https://www.vishay.com/docs/85153/bzd27series.pdf</t>
  </si>
  <si>
    <t>https://assets.lcsc.com/images/lcsc/900x900/20190216_PANJIT-International-BZD27C5V1P-R1-00001_C313479_front.jpg</t>
  </si>
  <si>
    <t>SOD-123FL</t>
  </si>
  <si>
    <t>MBR120ESFT1G</t>
  </si>
  <si>
    <t>20V 1A 530mV @ 1A Schottky Barrier Diodes (SBD) ROHS</t>
  </si>
  <si>
    <t>https://www.onsemi.com/pdf/datasheet/mbr120esft1-d.pdf</t>
  </si>
  <si>
    <t>https://assets.lcsc.com/images/lcsc/900x900/20181106_onsemi-MBR120ESFT1G_C236132_front.jpg</t>
  </si>
  <si>
    <t>MM3Z3V3CW</t>
  </si>
  <si>
    <t>FMS(Formosa Microsemi)</t>
  </si>
  <si>
    <t>SOD-323 Zener Diodes ROHS</t>
  </si>
  <si>
    <t>https://datasheet.lcsc.com/lcsc/1809211348_FMS-Formosa-Microsemi-MM3Z3V3CW_C216102.pdf</t>
  </si>
  <si>
    <t>https://assets.lcsc.com/images/lcsc/900x900/20180914_FMS-Formosa-Microsemi-MM3Z3V3CW_C216102_front.jpg</t>
  </si>
  <si>
    <t>SOD-323</t>
  </si>
  <si>
    <t>PMEG6010ER,115</t>
  </si>
  <si>
    <t>DIODE SCHOTTKY 60V 1A SOD123W</t>
  </si>
  <si>
    <t>https://assets.nexperia.com/documents/data-sheet/PMEG6010ER.pdf</t>
  </si>
  <si>
    <t>B340AE-13</t>
  </si>
  <si>
    <t>DIODE SCHOTTKY 40V 3A SMA</t>
  </si>
  <si>
    <t>https://www.diodes.com/assets/Datasheets/B320AE/B340AE.pdf</t>
  </si>
  <si>
    <t>NCD0402B1</t>
  </si>
  <si>
    <t>Foshan NationStar Optoelectronics</t>
  </si>
  <si>
    <t>blue 0402 Light Emitting Diodes (LED) ROHS</t>
  </si>
  <si>
    <t>https://datasheet.lcsc.com/lcsc/2008201033_Foshan-NationStar-Optoelectronics-NCD0402B1_C130724.pdf</t>
  </si>
  <si>
    <t>https://assets.lcsc.com/images/lcsc/900x900/20230102_Foshan-NationStar-Optoelectronics-NCD0402B1_C130724_front.jpg</t>
  </si>
  <si>
    <t>1N5819HW-7-F</t>
  </si>
  <si>
    <t>DIODE SCHOTTKY 40V 1A SOD123</t>
  </si>
  <si>
    <t>https://www.diodes.com/assets/Datasheets/ds30217.pdf</t>
  </si>
  <si>
    <t>https://media.digikey.com/Renders/Diodes%20Renders/31;%20SOD-123;%20;%202.jpg</t>
  </si>
  <si>
    <t>VS-12CWQ06FNTR-M3</t>
  </si>
  <si>
    <t>60V 790mV@12A 6A TO-252AA Schottky Barrier Diodes (SBD) ROHS</t>
  </si>
  <si>
    <t>https://www.vishay.com/docs/93289/vs-12cwq06f.pdf</t>
  </si>
  <si>
    <t>https://www.vishay.com/images/product-images/pt-large/93289-pt-large.jpg</t>
  </si>
  <si>
    <t>TO-252AA</t>
  </si>
  <si>
    <t>BZT52C3V3S</t>
  </si>
  <si>
    <t>5μA@1V 95Ω Single 3.1V~3.5V 200mW 3.3V SOD-323 Zener Diodes ROHS</t>
  </si>
  <si>
    <t>https://www.diodes.com/assets/Datasheets/ds30093.pdf</t>
  </si>
  <si>
    <t>https://assets.lcsc.com/images/lcsc/900x900/20230128_MSKSEMI-BZT52C3V3S_C2902888_back.jpg</t>
  </si>
  <si>
    <t>APHHS1005QBC/D</t>
  </si>
  <si>
    <t>Standard LEDs - SMD Blue 470nm Water Clear</t>
  </si>
  <si>
    <t>https://eu.mouser.com/datasheet/2/216/APHHS1005QBC_D-54846.pdf</t>
  </si>
  <si>
    <t>https://eu.mouser.com/images/kingbright/images/aphhs1005seck.jpg</t>
  </si>
  <si>
    <t>0402 (1005 metric)</t>
  </si>
  <si>
    <t>B330B-13-F</t>
  </si>
  <si>
    <t>30V 500mV@3A 3A SMB(DO-214AA) Schottky Barrier Diodes (SBD) ROHS</t>
  </si>
  <si>
    <t>https://www.diodes.com/assets/Datasheets/B320BE-B345BE-B320CE-B345CE.pdf</t>
  </si>
  <si>
    <t>https://assets.lcsc.com/images/lcsc/900x900/20180914_Diodes-Incorporated-B330B-13-F_C134450_front.jpg</t>
  </si>
  <si>
    <t>SMB(DO-214AA)</t>
  </si>
  <si>
    <t>Integrated Circuits (ICs)</t>
  </si>
  <si>
    <t>An integrated circuit is a set of electronic circuits in a single chip incorporated together to perform a specific function</t>
  </si>
  <si>
    <t>Linear ICs</t>
  </si>
  <si>
    <t>Linear integrated circuits are used in electronic systems to change the properties - amplitude and the phase, of one or more analog signals.</t>
  </si>
  <si>
    <t>LM258N</t>
  </si>
  <si>
    <t>STMicroelectronics</t>
  </si>
  <si>
    <t>Op Amps</t>
  </si>
  <si>
    <t>IC OPAMP GP 2 CIRCUIT 8DIP i/p 20nA o/p 40mA3V~30V</t>
  </si>
  <si>
    <t>Automotive, AEC-Q100</t>
  </si>
  <si>
    <t>https://www.st.com/resource/en/datasheet/lm258.pdf</t>
  </si>
  <si>
    <t>https://media.digikey.com/Renders/~~Pkg.Case%20or%20Series/8-DIP.jpg</t>
  </si>
  <si>
    <t>8-DIP</t>
  </si>
  <si>
    <t>Logic ICs</t>
  </si>
  <si>
    <t>Logic ICs are integrated circuits that allow to perform logical operations on one or more binary inputs producing binary outputs.</t>
  </si>
  <si>
    <t>SN74HC164N</t>
  </si>
  <si>
    <t>Texas Instruments</t>
  </si>
  <si>
    <t>Shift Registers</t>
  </si>
  <si>
    <t>IC 8-BIT SHIFT REGISTER 14-DIP2V ~ 6V</t>
  </si>
  <si>
    <t>74HC</t>
  </si>
  <si>
    <t>https://www.ti.com/lit/ds/symlink/sn74hc164.pdf</t>
  </si>
  <si>
    <t>https://media.digikey.com/Photos/Texas%20Instr%20Photos/Mfg_296~4040049~N~14.jpg</t>
  </si>
  <si>
    <t>14-PDIP</t>
  </si>
  <si>
    <t>Power Management ICs</t>
  </si>
  <si>
    <t xml:space="preserve">Power Management ICs may have one or more of the following functions: DC to DC conversion, battery charging, power-source selection, voltage scaling, power sequencing, other functions. </t>
  </si>
  <si>
    <t>MPREF02</t>
  </si>
  <si>
    <t>Voltage References</t>
  </si>
  <si>
    <t>Wide Supply Range 5-V Output Precision Voltage Reference 8-PDIP</t>
  </si>
  <si>
    <t>https://www.ti.com/lit/ds/symlink/ref02.pdf</t>
  </si>
  <si>
    <t>https://www.ti.com/graphics/folders/partimages/REF02.jpg</t>
  </si>
  <si>
    <t>CD4047BE</t>
  </si>
  <si>
    <t>Latches</t>
  </si>
  <si>
    <t>QUAD D LATCH 16-DIPD-Type Transparent Latch3V~18V</t>
  </si>
  <si>
    <t>4000B</t>
  </si>
  <si>
    <t>https://www.ti.com/lit/ds/symlink/cd4042b.pdf</t>
  </si>
  <si>
    <t>https://media.digikey.com/Renders/~~Pkg.Case%20or%20Series/DIP16_SOT38-1%20Pkg.jpg</t>
  </si>
  <si>
    <t>16-DIP</t>
  </si>
  <si>
    <t>LM324N</t>
  </si>
  <si>
    <t>IC OPAMP GP 4 CIRCUIT 14DIPi/p 45nA3V ~ 18V</t>
  </si>
  <si>
    <t>LinCMOS™</t>
  </si>
  <si>
    <t>https://www.ti.com/lit/ds/symlink/lm324.pdf</t>
  </si>
  <si>
    <t>https://media.digikey.com/Renders/~~Pkg.Case%20or%20Series/14PDIP.jpg</t>
  </si>
  <si>
    <t>Interface ICs</t>
  </si>
  <si>
    <t>Interface ICs are integrated circuits that allow to control and manage the communication between 2 or more devices. They define how the transmission of data is performed depending on the communication protocol used.</t>
  </si>
  <si>
    <t>HT12D</t>
  </si>
  <si>
    <t>Holtek</t>
  </si>
  <si>
    <t>Decoders</t>
  </si>
  <si>
    <t>Decoder 2/12 Series CMOS 2.4 V to 12 V DIP-18</t>
  </si>
  <si>
    <t>https://www.holtek.com/documents/10179/116711/HT12D_Fv140.pdf</t>
  </si>
  <si>
    <t>https://www.robomart.com/image/cache/catalog/RM0061/ht12d-ics-rm0061-by-robomart-109-500x500.jpg</t>
  </si>
  <si>
    <t>18-DIP</t>
  </si>
  <si>
    <t>MC14029BCP</t>
  </si>
  <si>
    <t>Counters</t>
  </si>
  <si>
    <t>Counter Shift Registers 3-18V Binary/Decade</t>
  </si>
  <si>
    <t>https://www.onsemi.com/download/data-sheet/pdf/mc14029b-d.pdf</t>
  </si>
  <si>
    <t>SN74LS08N</t>
  </si>
  <si>
    <t>Logic Gates</t>
  </si>
  <si>
    <t>IC GATE AND 4CH 2-INP 14DIP4.75V ~ 5.25V</t>
  </si>
  <si>
    <t>74LS</t>
  </si>
  <si>
    <t>https://www.ti.com/lit/ds/symlink/sn74ls08.pdf</t>
  </si>
  <si>
    <t>Embedded Processors and Controllers</t>
  </si>
  <si>
    <t>Integrated circuits designed to perform a wide variety of functions.Embedded Processors and Controllers are integrated circuits that incorporate many of the functions that a central processing unit performs.</t>
  </si>
  <si>
    <t>ATMLU2062ECL(AT24C256C)</t>
  </si>
  <si>
    <t>Microchip Technology</t>
  </si>
  <si>
    <t>Microcontrollers</t>
  </si>
  <si>
    <t>DIP 8</t>
  </si>
  <si>
    <t>AVR® ATtiny</t>
  </si>
  <si>
    <t>https://ww1.microchip.com/downloads/aemDocuments/documents/MPD/ProductDocuments/DataSheets/AT24C256C-I%C2%B2C-Compatible-%28Two-Wire%29-Serial-EEPROM-256-Kbit-%2832%2C768x8%29-Data-Sheet-DS20006042.pdf</t>
  </si>
  <si>
    <t>https://ae01.alicdn.com/kf/HTB1obBOIXXXXXXkXXXXq6xXFXXXy/ATMLU206-AT24C256B-PU-ATMLU206-2ECL-DIP8-IC-Jinmao-Long-Electronics.jpg</t>
  </si>
  <si>
    <t>SN74LS266N</t>
  </si>
  <si>
    <t>IC GATE XNOR OPEN 4CH 2-IN 14DIP4.75V ~ 5.25V</t>
  </si>
  <si>
    <t>https://www.ti.com/lit/ds/sdls151/sdls151.pdf</t>
  </si>
  <si>
    <t>CD4067BE</t>
  </si>
  <si>
    <t>Mux/Demux</t>
  </si>
  <si>
    <t>IC MUX/DEMUX 1X16 24DIP2400Ohm3V ~ 18V</t>
  </si>
  <si>
    <t>https://www.ti.com/lit/ds/symlink/cd4067b.pdf</t>
  </si>
  <si>
    <t>https://media.digikey.com/Renders/Texas%20Instr%20Renders/N-24-DIP-Pkg.jpg</t>
  </si>
  <si>
    <t>24-PDIP</t>
  </si>
  <si>
    <t>ULN2003AN</t>
  </si>
  <si>
    <t>Darlington</t>
  </si>
  <si>
    <t>TRANS 7NPN DARL 50V 0.5A 16DIPPower Switch/Driver 1:1 NPN 500mA 16-PDIP</t>
  </si>
  <si>
    <t>ULx200xA</t>
  </si>
  <si>
    <t>https://www.ti.com/lit/ds/symlink/uln2003a.pdf</t>
  </si>
  <si>
    <t>16-PDIP</t>
  </si>
  <si>
    <t>CA3140EZ</t>
  </si>
  <si>
    <t>Renesas Electronics America Inc</t>
  </si>
  <si>
    <t>IC OPAMP Genearal Purpose Amplifier 1 CIRCUIT 8DIPi/p 4mAo/p 40mA</t>
  </si>
  <si>
    <t>https://www.renesas.com/us/en/document/dst/ca3140-ca3140a-datasheet</t>
  </si>
  <si>
    <t>https://media.digikey.com/Photos/Intersil%20Photos/MFG_8-PDIP,%20E8_3%20PKG.jpg</t>
  </si>
  <si>
    <t>MC14067BCP</t>
  </si>
  <si>
    <t>IC MUX/DEMUX 16X1 24DIP2400Ohm3V ~ 18V</t>
  </si>
  <si>
    <t>https://media.digikey.com/pdf/Data Sheets/ON Semiconductor PDFs/MC14067B Rev5.pdf</t>
  </si>
  <si>
    <t>https://media.digikey.com/Renders/~~Pkg.Case%20or%20Series/24-Dip.jpg</t>
  </si>
  <si>
    <t>Clock and Timing</t>
  </si>
  <si>
    <t>Clock and Timing integrated circuits are used in the design of electronic systems where it is necessary to generate, distribute and manipulate timing signals with the utmost precision</t>
  </si>
  <si>
    <t>DS1307</t>
  </si>
  <si>
    <t>Analog Devices Inc.</t>
  </si>
  <si>
    <t>Real Time Clocks</t>
  </si>
  <si>
    <t>IC Real TIme Clock(RTC) CLK/CALENDAR I2C 8-DIP4.5V ~ 5.5V</t>
  </si>
  <si>
    <t>https://www.analog.com/media/en/technical-documentation/data-sheets/ds1307.pdf</t>
  </si>
  <si>
    <t>HT12E</t>
  </si>
  <si>
    <t>Encoders</t>
  </si>
  <si>
    <t>Encoder CMOS 2.4 V to 12 V DIP-18</t>
  </si>
  <si>
    <t>https://www.holtek.com/documents/10179/116711/HT12A_Ev130.pdf</t>
  </si>
  <si>
    <t>https://components101.com/sites/default/files/components/HT12E-Encoder-IC.jpg</t>
  </si>
  <si>
    <t>ATTINY2313A-PU</t>
  </si>
  <si>
    <t>IC MCU 8BIT 2KB FLASH 20DIP20MHz 2KB(1K x 16) FLASH</t>
  </si>
  <si>
    <t>https://ww1.microchip.com/downloads/aemDocuments/documents/OTH/ProductDocuments/DataSheets/8246S.pdf</t>
  </si>
  <si>
    <t>https://media.digikey.com/Renders/~~Pkg.Case%20or%20Series/20-DIP.jpg</t>
  </si>
  <si>
    <t>20-DIP</t>
  </si>
  <si>
    <t>PIC16F877A-I/P</t>
  </si>
  <si>
    <t>IC MCU 8BIT 14KB FLASH 40DIP20MHz (8K x 14) FLASH</t>
  </si>
  <si>
    <t>PIC® 16F</t>
  </si>
  <si>
    <t>https://ww1.microchip.com/downloads/aemDocuments/documents/MCU08/ProductDocuments/DataSheets/39582C.pdf</t>
  </si>
  <si>
    <t>https://media.digikey.com/Renders/Microchip%20Tech%20Renders/150~C04-016~P,%20PL~40.JPG</t>
  </si>
  <si>
    <t>40-DIP</t>
  </si>
  <si>
    <t>ULN2803APGCN</t>
  </si>
  <si>
    <t>Toshiba Semiconductor and Storage</t>
  </si>
  <si>
    <t>TRANS BJT 8NPN DARL 50V 0.5A 1.47W 500mA18 DIP</t>
  </si>
  <si>
    <t>https://media.digikey.com/pdf/Data Sheets/Toshiba PDFs/ULN2803-04APG_AFWG_11-26-12.pdf</t>
  </si>
  <si>
    <t>https://media.digikey.com/Renders/~~Pkg.Case%20or%20Series/18-DIP.jpg</t>
  </si>
  <si>
    <t>Optocouplers</t>
  </si>
  <si>
    <t xml:space="preserve">An optocoupler is an electronic device that allows to transmit an electrical signal between two isolated circuits. </t>
  </si>
  <si>
    <t>4N35</t>
  </si>
  <si>
    <t>Opto-Isolators</t>
  </si>
  <si>
    <t>Opto Isolator(OPTOISO) Transistor 3.55KV/Vrms TRANS W/BASE 6DIP</t>
  </si>
  <si>
    <t>4N3X</t>
  </si>
  <si>
    <t>https://optoelectronics.liteon.com/upload/download/DS-70-99-0012/4N3X%20Series%201115.PDF</t>
  </si>
  <si>
    <t>https://media.digikey.com/photos/Lite%20On%20Photos/160-6-DIP.jpg</t>
  </si>
  <si>
    <t>6-DIP</t>
  </si>
  <si>
    <t>TLP521-2X</t>
  </si>
  <si>
    <t>Isocom Components 2004 LTD</t>
  </si>
  <si>
    <t>Opto Isolator(OPTOISO) 5.3KV/Vrms 2CH TRANS 8DIP</t>
  </si>
  <si>
    <t>https://www.digikey.com/en/htmldatasheets/production/1699418/0/0/1/tlp521-2-4.html</t>
  </si>
  <si>
    <t>https://media.digikey.com/Photos/Isocom/8-DIP.jpg</t>
  </si>
  <si>
    <t>LM308N</t>
  </si>
  <si>
    <t>General Purpose Amplifier 7.5 mV7 nA</t>
  </si>
  <si>
    <t>https://www.ti.com/lit/ds/symlink/lm318.pdf</t>
  </si>
  <si>
    <t>https://eu.mouser.com/images/texasinstruments/images/TI_PDIP_8.jpg</t>
  </si>
  <si>
    <t>SN74LS147N</t>
  </si>
  <si>
    <t>Encoders Decoders Multiplexers &amp; Demultiplexers 10-Line to 4-Line BCD Priority Encoder4.75 to 5.25 V</t>
  </si>
  <si>
    <t>https://octopart.com/datasheet/sn74ls00n-onsemi-92417?utm_source=bing&amp;utm_medium=cpc&amp;utm_campaign=b_cpc_intl_search_dsa_english_en_usd_datasheets&amp;utm_term=datasheet&amp;utm_content=Intl%20Datasheet%20DSA</t>
  </si>
  <si>
    <t>https://eu.mouser.com/images/texasinstruments/images/ITP_TI_PDIP-16_N_t.jpg</t>
  </si>
  <si>
    <t>PC817X2NSZ1B</t>
  </si>
  <si>
    <t>Sharp Microelectronics</t>
  </si>
  <si>
    <t>Photo-Couplers</t>
  </si>
  <si>
    <t>Transistor Output Optocouplers PhotocouplerIf 50mA Vf 1.4VSMD/SMT</t>
  </si>
  <si>
    <t>https://eu.mouser.com/datasheet/2/365/PC817XxNSZ1B_07Oct16_Spec_ED-16P010-1360269.pdf</t>
  </si>
  <si>
    <t>https://eu.mouser.com/images/sharpmicroelectronics/images/pc123.jpg</t>
  </si>
  <si>
    <t>4-DIP</t>
  </si>
  <si>
    <t>PIC16F676-I/P</t>
  </si>
  <si>
    <t>IC MCU 8BIT 1.75KB FLASH 14DIP 20MHz</t>
  </si>
  <si>
    <t>https://ww1.microchip.com/downloads/aemDocuments/documents/MCU08/ProductDocuments/DataSheets/40039F.pdf</t>
  </si>
  <si>
    <t>https://media.digikey.com/Renders/Microchip%20Tech%20Renders/150~C04-005~P,-PD~14.JPG</t>
  </si>
  <si>
    <t>HA17555F-E</t>
  </si>
  <si>
    <t>Timers</t>
  </si>
  <si>
    <t>PRECISION TIMER</t>
  </si>
  <si>
    <t>TC</t>
  </si>
  <si>
    <t>https://rocelec.widen.net/view/pdf/lj7lzhtnml/RNSAS04101-1.pdf?t.download=true&amp;u=5oefqw</t>
  </si>
  <si>
    <t>https://media.digikey.com/Photos/Rochester/MFG_FW257-TL-E.jpg</t>
  </si>
  <si>
    <t>TLC555CP</t>
  </si>
  <si>
    <t>Timers &amp; Support Products CMOS PDIP-8 100mA1000mW2 to 15V</t>
  </si>
  <si>
    <t>TLC555</t>
  </si>
  <si>
    <t>https://www.ti.com/lit/ds/symlink/tlc555.pdf</t>
  </si>
  <si>
    <t>https://eu.mouser.com/images/texasinstruments/sm/TI_PDIP_8.jpg</t>
  </si>
  <si>
    <t>HD74LS08P</t>
  </si>
  <si>
    <t>Quadrupler 2-input Positive AND Gate 14DIP</t>
  </si>
  <si>
    <t>https://www.renesas.com/us/en/document/dst/hd74ls08-datasheet?r=526061</t>
  </si>
  <si>
    <t>https://www.ti.com/content/dam/ticom/images/products/package/d/d0014a.png:large</t>
  </si>
  <si>
    <t>CA3130E</t>
  </si>
  <si>
    <t>IC OPAMP GP 1 CIRCUIT 8DIP 5 to 16V 10mA</t>
  </si>
  <si>
    <t>https://www.renesas.com/us/en/document/dst/ca3130-ca3130a-datasheet</t>
  </si>
  <si>
    <t>MM74HC32N</t>
  </si>
  <si>
    <t>IC GATE OR 4CH 2-INP 14DIP2V ~ 6V</t>
  </si>
  <si>
    <t>https://www.onsemi.com/download/data-sheet/pdf/mm74hc32-d.pdf</t>
  </si>
  <si>
    <t>MCP6002-I/P</t>
  </si>
  <si>
    <t>IC OPAMP GP 2 CIRCUIT 8DIP100µA (x2 Channels)</t>
  </si>
  <si>
    <t>https://ww1.microchip.com/downloads/aemDocuments/documents/MSLD/ProductDocuments/DataSheets/MCP6001-1R-1U-2-4-1-MHz-Low-Power-Op-Amp-DS20001733L.pdf</t>
  </si>
  <si>
    <t>https://media.digikey.com/Renders/Microchip%20Tech%20Renders/150~C04-018~P,%20PA~8.JPG</t>
  </si>
  <si>
    <t>MC14042BCP</t>
  </si>
  <si>
    <t>Quad Transparent Latch D FLIP-FLOPOutput Differential3V~18V</t>
  </si>
  <si>
    <t>https://www.onsemi.com/download/data-sheet/pdf/mc14042b-d.pdf</t>
  </si>
  <si>
    <t>SN74HC245N</t>
  </si>
  <si>
    <t>Transceivers</t>
  </si>
  <si>
    <t>IC TXRX NON-INVERT 2V ~ 6V  20DIP</t>
  </si>
  <si>
    <t>https://www.ti.com/lit/ds/symlink/sn74hc245.pdf</t>
  </si>
  <si>
    <t>https://media.digikey.com/Photos/Texas%20Instr%20Photos/296~4040049~N~20.jpg</t>
  </si>
  <si>
    <t>20-PDIP</t>
  </si>
  <si>
    <t>ATMEGA8A-PU</t>
  </si>
  <si>
    <t>IC MCU 8BIT 8KB FLASH 28DIP 16 MHzVcc/Vdd 2.7V ~ 5.5V</t>
  </si>
  <si>
    <t>AVR® ATmega</t>
  </si>
  <si>
    <t>https://ww1.microchip.com/downloads/aemDocuments/documents/MCU08/ProductDocuments/DataSheets/ATmega8A-Data-Sheet-DS40001974B.pdf</t>
  </si>
  <si>
    <t>https://media.digikey.com/Renders/~~Pkg.Case%20or%20Series/28-PDip.jpg</t>
  </si>
  <si>
    <t>28-PDIP</t>
  </si>
  <si>
    <t>MAX232CPE</t>
  </si>
  <si>
    <t>IC TRANSCEIVER FULL 2/2 16DIPRS 2324.5V~5.5V</t>
  </si>
  <si>
    <t>https://www.ti.com/lit/ds/symlink/max232.pdf</t>
  </si>
  <si>
    <t>https://media.digikey.com/Renders/Maxim%20Renders/16-DIP.jpg</t>
  </si>
  <si>
    <t>Signal Switches</t>
  </si>
  <si>
    <t>A switch IC is a simple integrated circuit that is the electrical analog of a mechanical switch. These components provide a convenient switching mechanism based on user input, logical conditions, or even a sensor level..</t>
  </si>
  <si>
    <t>TC4066BP-NF</t>
  </si>
  <si>
    <t>IC Quad FET BILATERAL SW 1 X 1:1 14DIP 3V ~ 18V</t>
  </si>
  <si>
    <t>https://toshiba.semicon-storage.com/info/TC4066BP_datasheet_en_20170718.pdf?did=18812&amp;prodName=TC4066BP</t>
  </si>
  <si>
    <t>Motor and Drives</t>
  </si>
  <si>
    <t>Motors are used to generate a rotational or linear force while a driver is the electronic device that harnesses and controls the electrical energy sent to the motor.</t>
  </si>
  <si>
    <t>L297/1</t>
  </si>
  <si>
    <t>Motor Drives</t>
  </si>
  <si>
    <t>IC  Stepper MOTOR DRVR BIPLR/UNIPLR 20DIP4.75V ~ 7V</t>
  </si>
  <si>
    <t>https://www.st.com/resource/en/datasheet/l297.pdf</t>
  </si>
  <si>
    <t>IR2110</t>
  </si>
  <si>
    <t>Infineon Technologies</t>
  </si>
  <si>
    <t>Gate Drivers</t>
  </si>
  <si>
    <t>IC GATE DRVR HALF-BRIDGE IGBT N-CHANNEL MOSFET 14DIP4.75V ~ 7V</t>
  </si>
  <si>
    <t>https://www.infineon.com/dgdl/Infineon-IR2110-DataSheet-v01_00-EN.pdf</t>
  </si>
  <si>
    <t>TL071CP</t>
  </si>
  <si>
    <t>IC OPAMP JFET 1 CIRCUIT 8DIP</t>
  </si>
  <si>
    <t>https://www.ti.com/lit/ds/symlink/tl071.pdf</t>
  </si>
  <si>
    <t>https://media.digikey.com/Photos/Rochester/MFG_TC254P.jpg.jpg</t>
  </si>
  <si>
    <t>KA3525A</t>
  </si>
  <si>
    <t>Voltage Regulators</t>
  </si>
  <si>
    <t>IC REG CTRLR 16DIPTRANSISTOR DRIVERVcc/Vdd-7V~20V</t>
  </si>
  <si>
    <t>https://www.onsemi.com/pdf/datasheet/ka3525a-d.pdf</t>
  </si>
  <si>
    <t>https://media.digikey.com/Renders/On%20Semi%20Renders/488;MKT-N16E;;16.jpg</t>
  </si>
  <si>
    <t>CD4013BCN</t>
  </si>
  <si>
    <t>Flip Flops</t>
  </si>
  <si>
    <t>IC FF D-TYPE DUAL 1BIT 14DIP3V ~ 15V</t>
  </si>
  <si>
    <t>https://www.digikey.com/en/htmldatasheets/production/63884/0/0/1/cd4013bc.html</t>
  </si>
  <si>
    <t>14-MDIP</t>
  </si>
  <si>
    <t>SN74LS32N</t>
  </si>
  <si>
    <t>IC GATE OR 4CH 2-INP 14DIP4.75V ~ 5.25V</t>
  </si>
  <si>
    <t>https://www.ti.com/lit/ds/symlink/sn74ls32.pdf</t>
  </si>
  <si>
    <t>PIC16F886-I/SP</t>
  </si>
  <si>
    <t>IC MCU 8BIT 14KB FLASH 28SPDIP20MHz</t>
  </si>
  <si>
    <t>https://ww1.microchip.com/downloads/aemDocuments/documents/OTH/ProductDocuments/DataSheets/40001291H.pdf</t>
  </si>
  <si>
    <t>https://media.digikey.com/Renders/Microchip%20Tech%20Renders/150;C04-070;%20SP,PJ;28.jpg</t>
  </si>
  <si>
    <t>L293D</t>
  </si>
  <si>
    <t>Motor Drivers</t>
  </si>
  <si>
    <t>IC MTR DRV BIPLR BRUSHED DC4.5-36V600mA16PWRDIP</t>
  </si>
  <si>
    <t>https://www.st.com/resource/en/datasheet/l293d.pdf</t>
  </si>
  <si>
    <t>Data Converter ICs</t>
  </si>
  <si>
    <t>Data Converter integrated circuits are used to convert digital data streams into analog signals (DACs) or any analog signal into a digital signal (ADCs).</t>
  </si>
  <si>
    <t>DS1267-010</t>
  </si>
  <si>
    <t>Digital Potentiometers</t>
  </si>
  <si>
    <t>IC DGTL POT 10KOHM 256TAP 14DIP</t>
  </si>
  <si>
    <t>https://www.analog.com/media/en/technical-documentation/data-sheets/DS1267.pdf</t>
  </si>
  <si>
    <t>https://media.digikey.com/photos/Maxim%20Photos/175-14-DIP.jpg</t>
  </si>
  <si>
    <t>AT89C51-24PI</t>
  </si>
  <si>
    <t>IC MCU 8BIT 4KB FLASH 40DIP24MHz</t>
  </si>
  <si>
    <t>89C</t>
  </si>
  <si>
    <t>https://ww1.microchip.com/downloads/en/DeviceDoc/doc0265.pdf</t>
  </si>
  <si>
    <t>https://media.digikey.com/Renders/Microchip%20Tech%20Renders/150~40P6~~40.JPG</t>
  </si>
  <si>
    <t>40-PDIP</t>
  </si>
  <si>
    <t>HCF4050BE</t>
  </si>
  <si>
    <t>Buffers</t>
  </si>
  <si>
    <t>IC BUFFER NON-INVERT 3 to 20V 16DIP</t>
  </si>
  <si>
    <t>https://www.st.com/resource/en/datasheet/hcc4050b.pdf</t>
  </si>
  <si>
    <t>UA741CN</t>
  </si>
  <si>
    <t>IC OPAMP GP 1 CIRCUIT 8DIP. 1.7mA</t>
  </si>
  <si>
    <t>https://www.st.com/resource/en/datasheet/ua741.pdf</t>
  </si>
  <si>
    <t>2N3904</t>
  </si>
  <si>
    <t>NTE Electronics, Inc</t>
  </si>
  <si>
    <t>DIE TRANS BJT NPN SMALL SIGNAL 40VPmax625 mW</t>
  </si>
  <si>
    <t>https://www.nteinc.com/specs/original/2N3904.pdf</t>
  </si>
  <si>
    <t>https://media.digikey.com/Photos/NTE-Electronics/MFG_2N3904.jpg</t>
  </si>
  <si>
    <t>TO-92-3</t>
  </si>
  <si>
    <t>BC548</t>
  </si>
  <si>
    <t>TRANS BJT NPN 30V 0.1A TO-92 Pmax 500mW</t>
  </si>
  <si>
    <t>https://www.nteinc.com/specs/100to199/pdf/nte123ap.pdf</t>
  </si>
  <si>
    <t>C8850</t>
  </si>
  <si>
    <t>USHA India Ltd</t>
  </si>
  <si>
    <t>Transistor C8550 2W output</t>
  </si>
  <si>
    <t>https://www.alldatasheet.com/datasheet-pdf/pdf/83743/ETC/C8550.html</t>
  </si>
  <si>
    <t>PIC16F883-I/SP</t>
  </si>
  <si>
    <t>8 bit CMOS microcontrollerPIC PIC® 16F Microcontroller IC 8-Bit 20MHz 7KB (4K x 14) FLASH 28-SPDIP</t>
  </si>
  <si>
    <t>Sensors</t>
  </si>
  <si>
    <t>Devices used for detecting and measuring of some type of input from physical environment and converting the information into electrical signals</t>
  </si>
  <si>
    <t>Obstacle Sensors</t>
  </si>
  <si>
    <t>An obstacle sensor, also known as an obstacle detection system or parking system, is a system that detects an obstacle in the blind spot and warns the driver before an accident occurs</t>
  </si>
  <si>
    <t>KY-022</t>
  </si>
  <si>
    <t>joy-it</t>
  </si>
  <si>
    <t>INFRARED RECEIVER</t>
  </si>
  <si>
    <t>3-pin SKU MOD-19 KY-022 Arduino Infrared Sensor Infrared Receiver Module 38khz Receiver</t>
  </si>
  <si>
    <t>https://sensorkit.joy-it.net/en/sensors/ky-022</t>
  </si>
  <si>
    <t>https://sensorkit.joy-it.net/files/files/sensors/KY-022/KY-022.png</t>
  </si>
  <si>
    <t>KY-032</t>
  </si>
  <si>
    <t>OBSTACLE DETECTOR</t>
  </si>
  <si>
    <t>4-pin KY-032 IR Infrared Obstacle Avoidance Sensor  with 74HC00D NAND GATE</t>
  </si>
  <si>
    <t>https://sensorkit.joy-it.net/en/sensors/ky-032</t>
  </si>
  <si>
    <t>https://sensorkit.joy-it.net/files/files/sensors/KY-032/KY-032.png</t>
  </si>
  <si>
    <t>Magnetic Sensors</t>
  </si>
  <si>
    <t>Magnetic sensors are devices used for detecting and measuring of magnetic fields and converting the information into output electrical signals.</t>
  </si>
  <si>
    <t>KY-021</t>
  </si>
  <si>
    <t>MINI REED MAGNETIC SWITCHES</t>
  </si>
  <si>
    <t>3-pin Reed Switch Sensor Module KY-021</t>
  </si>
  <si>
    <t>https://sensorkit.joy-it.net/en/sensors/ky-021</t>
  </si>
  <si>
    <t>https://sensorkit.joy-it.net/files/files/sensors/KY-021/KY-021.png</t>
  </si>
  <si>
    <t>KY-026</t>
  </si>
  <si>
    <t>ANALOG FLAME SENSOR</t>
  </si>
  <si>
    <t>4-pin Flame Sensor Module (KY-026) with comparator IC LM393</t>
  </si>
  <si>
    <t>https://sensorkit.joy-it.net/en/sensors/ky-026</t>
  </si>
  <si>
    <t>https://sensorkit.joy-it.net/files/files/sensors/KY-026/KY-026.png</t>
  </si>
  <si>
    <t>Temperature Sensors</t>
  </si>
  <si>
    <t>Temperature sensors are devices used for temperature measuring and converting the information into electrical signals.</t>
  </si>
  <si>
    <t>KY-028</t>
  </si>
  <si>
    <t>TEMPERATURE SENSOR (THERMISTOR)</t>
  </si>
  <si>
    <t>4-pin KY-028 Digital Temperature Sensor with LM393</t>
  </si>
  <si>
    <t>https://sensorkit.joy-it.net/en/sensors/ky-028</t>
  </si>
  <si>
    <t>https://sensorkit.joy-it.net/files/files/sensors/KY-028/KY-028.png</t>
  </si>
  <si>
    <t>KY-038</t>
  </si>
  <si>
    <t>MICROPHONE SOUND SENSOR (HIGH SENSITIVITY)</t>
  </si>
  <si>
    <t>4pin KY-038 small microphone sound sensor  with LM393</t>
  </si>
  <si>
    <t>https://sensorkit.joy-it.net/en/sensors/ky-038</t>
  </si>
  <si>
    <t>https://sensorkit.joy-it.net/files/files/sensors/KY-038/KY-038.png</t>
  </si>
  <si>
    <t>KY-035</t>
  </si>
  <si>
    <t>BIHOR MAGNETIC SENSOR</t>
  </si>
  <si>
    <t>3-pin KY-035 Analog Hall Magnetic Sensor with LINEAR HALL-EFFECT IC (AH49E)</t>
  </si>
  <si>
    <t>https://sensorkit.joy-it.net/en/sensors/ky-035</t>
  </si>
  <si>
    <t>https://sensorkit.joy-it.net/files/files/sensors/KY-035/KY-035.png</t>
  </si>
  <si>
    <t>Adafruit Industries LLC</t>
  </si>
  <si>
    <t>Analog to Digital Converters (ADCs)</t>
  </si>
  <si>
    <t>ADS1115 4 CHANNEL 16 BIT ADC I2C MODULE - PGA PROGRAMMABLE GAIN AMPLIFIER - ARDUINO</t>
  </si>
  <si>
    <t>https://cdn-learn.adafruit.com/downloads/pdf/adafruit-4-channel-adc-breakouts.pdf</t>
  </si>
  <si>
    <t>https://katodo.com/576-large_default/ads1115-4-channel-16-bit-adc-i2c-module-pga-programmable-gain-amplifier-arduino.jpg</t>
  </si>
  <si>
    <t>Photo Electric Sensors</t>
  </si>
  <si>
    <t>A photoelectric sensor is a device that detects a change in light intensity. Typically, this means either non-detection or detection of the sensor’s emitted light source. The type of light and method by which the target is detected varies depending on the sensor</t>
  </si>
  <si>
    <t>KY-008</t>
  </si>
  <si>
    <t>LASER TRANSMITTER MODULE</t>
  </si>
  <si>
    <t xml:space="preserve">3-pin KY-008 650nm Laser sensor Module 6mm 5V 5mW Red Laser Dot Diode Copper Head </t>
  </si>
  <si>
    <t>https://arduinomodules.info/ky-008-laser-transmitter-module/</t>
  </si>
  <si>
    <t>KY-025</t>
  </si>
  <si>
    <t>ANALOG, MAGNETIC REED SENSOR</t>
  </si>
  <si>
    <t>4-pin KY-025 MINI Magnetic Smart Car Reed Switch Sensor</t>
  </si>
  <si>
    <t>https://sensorkit.joy-it.net/en/sensors/ky-025</t>
  </si>
  <si>
    <t>https://sensorkit.joy-it.net/files/files/sensors/KY-025/KY-025.png</t>
  </si>
  <si>
    <t>KY-005</t>
  </si>
  <si>
    <t>INFRARED TRANSMITTER</t>
  </si>
  <si>
    <t>3-pin Infrared emission sensor KY-005</t>
  </si>
  <si>
    <t>https://sensorkit.joy-it.net/en/sensors/ky-005</t>
  </si>
  <si>
    <t>https://sensorkit.joy-it.net/files/files/sensors/KY-005/KY-005.png</t>
  </si>
  <si>
    <t>KY-013</t>
  </si>
  <si>
    <t>TEMPERATURE SENSOR (NTC)</t>
  </si>
  <si>
    <t>3-pin Analog Temperature Sensor Module Arduino Raspberry Pi</t>
  </si>
  <si>
    <t>https://sensorkit.joy-it.net/en/sensors/ky-013</t>
  </si>
  <si>
    <t>https://sensorkit.joy-it.net/files/files/sensors/KY-013/KY-013.png</t>
  </si>
  <si>
    <t>Other Sensors</t>
  </si>
  <si>
    <t>KY-027</t>
  </si>
  <si>
    <t>MAGIC LIGHT CUP</t>
  </si>
  <si>
    <t>4-pin KY-027 Magic Cup Light Module Compatible with Arduino &amp; NodeMCU</t>
  </si>
  <si>
    <t>https://sensorkit.joy-it.net/en/sensors/ky-027</t>
  </si>
  <si>
    <t>https://sensorkit.joy-it.net/files/files/sensors/KY-027/KY-027.png</t>
  </si>
  <si>
    <t>KY-020</t>
  </si>
  <si>
    <t>TILT SWITCH</t>
  </si>
  <si>
    <t>3-pin Tilt Switch Sensor Rolling Ball Tilt Switch Module KY-020 For UNO Mega PIC AVR Raspberry pi</t>
  </si>
  <si>
    <t>https://sensorkit.joy-it.net/en/sensors/ky-020</t>
  </si>
  <si>
    <t>https://sensorkit.joy-it.net/files/files/sensors/KY-020/KY-020.png</t>
  </si>
  <si>
    <t>Load / Pressure / Force / Flex Sensors</t>
  </si>
  <si>
    <t>Pressure sensors are devices used for pressure measuring of gases or liquids and converting the information into electrical signals.</t>
  </si>
  <si>
    <t>KY-031</t>
  </si>
  <si>
    <t>KNOCK SENSOR</t>
  </si>
  <si>
    <t>3-pin Tap Sensor Module for Arduino KY-031</t>
  </si>
  <si>
    <t>https://sensorkit.joy-it.net/en/sensors/ky-031</t>
  </si>
  <si>
    <t>https://sensorkit.joy-it.net/files/files/sensors/KY-031/KY-031.png</t>
  </si>
  <si>
    <t>Pulse Sensors</t>
  </si>
  <si>
    <t>A pulse sensor is a device that monitors the change in the volume of a blood vessel that occurs when the heart pumps blood12. It is used to measure the heart rate data and the oxygen saturation of circulating arterial blood in an individual.</t>
  </si>
  <si>
    <t>KY-039</t>
  </si>
  <si>
    <t>HEARTBEAT SENSOR</t>
  </si>
  <si>
    <t>3-pin KY-039 5V FINGER DETECTION HEARTBEAT SENSOR</t>
  </si>
  <si>
    <t>https://sensorkit.joy-it.net/en/sensors/ky-039</t>
  </si>
  <si>
    <t>Tilt Sensors</t>
  </si>
  <si>
    <t>A tilt sensor, also known as an inclinometer, is an instrument used to measure slope, tilt, or inclination by using gravity.</t>
  </si>
  <si>
    <t>KY-017</t>
  </si>
  <si>
    <t>MERCURY TILT SWITCH</t>
  </si>
  <si>
    <t xml:space="preserve">3-pins Mercury Tilt sensor </t>
  </si>
  <si>
    <t>https://electrosome.com/interfacing-mercury-tilt-switch-arduino-uno/</t>
  </si>
  <si>
    <t>https://electrosome.com/wp-content/uploads/2020/05/Tilt-Sensor-300x300.jpeg</t>
  </si>
  <si>
    <t>Ultra Sonic Sensors</t>
  </si>
  <si>
    <t>An ultrasonic sensor is an electronic device that measures distance by using ultrasonic sound waves. It emits an ultrasonic wave from the sensor head and receives the wave reflected back from the target.</t>
  </si>
  <si>
    <t>KY-006</t>
  </si>
  <si>
    <t>PASSIVE PIEZO-BUZZER</t>
  </si>
  <si>
    <t> 3-pin Passive Buzzer Sensor Alarm Module for Arduino KY-006 KY-012 DIY Kit</t>
  </si>
  <si>
    <t>https://sensorkit.joy-it.net/en/sensors/ky-006</t>
  </si>
  <si>
    <t>https://sensorkit.joy-it.net/files/files/sensors/KY-006/KY-006.png</t>
  </si>
  <si>
    <t>KY-012</t>
  </si>
  <si>
    <t>ACTIVE PIEZO-BUZZER</t>
  </si>
  <si>
    <t>https://sensorkit.joy-it.net/en/sensors/ky-012</t>
  </si>
  <si>
    <t>KY-011</t>
  </si>
  <si>
    <t>2-COLOR 5MM LED</t>
  </si>
  <si>
    <t>3-pin Two-color LED module 5MM for arduino sensor</t>
  </si>
  <si>
    <t>https://sensorkit.joy-it.net/en/sensors/ky-011</t>
  </si>
  <si>
    <t>https://sensorkit.joy-it.net/files/files/sensors/KY-011/KY-011.png</t>
  </si>
  <si>
    <t>KY-002</t>
  </si>
  <si>
    <t>VIBRATION SWITCH</t>
  </si>
  <si>
    <t>3-pin Shock Sensor Module</t>
  </si>
  <si>
    <t>https://sensorkit.joy-it.net/en/sensors/ky-002</t>
  </si>
  <si>
    <t>https://sensorkit.joy-it.net/files/files/sensors/KY-002/KY-002.png</t>
  </si>
  <si>
    <t>Motion Sensors</t>
  </si>
  <si>
    <t>Motion sensors are devices used for detecting and measuring of some type of motion. It can be acceleration, angular velocity, orientation in 3D space etc. Some sensors can measure their own motion (like accelerometers, gyroscopes, IMUs) and others can measure motion of the controlled objects (like PIR motion sensors).</t>
  </si>
  <si>
    <t>KY-040</t>
  </si>
  <si>
    <t>ROTARY ENCODER</t>
  </si>
  <si>
    <t xml:space="preserve">5-pin KY-040 Rotary Encoder Sensor Module </t>
  </si>
  <si>
    <t>https://sensorkit.joy-it.net/en/sensors/ky-040</t>
  </si>
  <si>
    <t>https://sensorkit.joy-it.net/files/files/sensors/KY-040/KY-040.png</t>
  </si>
  <si>
    <t>KY-033</t>
  </si>
  <si>
    <t>LINE TRACKING SENSOR</t>
  </si>
  <si>
    <t>3-pin TCRT5000 Single Channel Line Tracking Sensor with LM393</t>
  </si>
  <si>
    <t>https://sensorkit.joy-it.net/en/sensors/ky-033</t>
  </si>
  <si>
    <t>https://sensorkit.joy-it.net/files/files/sensors/KY-033/KY-033.png</t>
  </si>
  <si>
    <t>Current Sensors</t>
  </si>
  <si>
    <t>Current sensors are devices used for detecting an electric current in a wire and generating an output signal proportional to that current.</t>
  </si>
  <si>
    <t>KY-019</t>
  </si>
  <si>
    <t>5V RELAYS</t>
  </si>
  <si>
    <t>3-pin KY-019 RELAY MODULE</t>
  </si>
  <si>
    <t>https://sensorkit.joy-it.net/en/sensors/ky-019</t>
  </si>
  <si>
    <t>https://sensorkit.joy-it.net/files/files/sensors/KY-019/KY-019.png</t>
  </si>
  <si>
    <t>KY-023</t>
  </si>
  <si>
    <t>JOYSTICK (X-Y-AXIS)</t>
  </si>
  <si>
    <t>5-pin Joystick Control Lever Sensor KY-023 </t>
  </si>
  <si>
    <t>https://sensorkit.joy-it.net/en/sensors/ky-023</t>
  </si>
  <si>
    <t>https://sensorkit.joy-it.net/files/files/sensors/KY-023/KY-023.png</t>
  </si>
  <si>
    <t>KY-024</t>
  </si>
  <si>
    <t>LINEAR, MAGNETIC HALL SENSOR</t>
  </si>
  <si>
    <t>4-pin Linear Hall Effect Sensor Module with LINEAR HALL-EFFECT IC (AH49E) KY-024</t>
  </si>
  <si>
    <t>https://sensorkit.joy-it.net/en/sensors/ky-024</t>
  </si>
  <si>
    <t>https://sensorkit.joy-it.net/files/files/sensors/KY-024/KY-024.png</t>
  </si>
  <si>
    <t>KY-036</t>
  </si>
  <si>
    <t>METAL TOUCH SENSOR</t>
  </si>
  <si>
    <t>4-pin  Human Body Touch Sensor Module with LM393 KY-036</t>
  </si>
  <si>
    <t>https://sensorkit.joy-it.net/en/sensors/ky-036</t>
  </si>
  <si>
    <t>https://sensorkit.joy-it.net/files/files/sensors/KY-036/KY-036.png</t>
  </si>
  <si>
    <t>KY-016</t>
  </si>
  <si>
    <t>RGB 5MM LED</t>
  </si>
  <si>
    <t>Full Color RGB LED Arduino Sensor Module DC 5V Common Cathode Driver With 4 Pins</t>
  </si>
  <si>
    <t>https://sensorkit.joy-it.net/en/sensors/ky-016</t>
  </si>
  <si>
    <t>https://sensorkit.joy-it.net/files/files/sensors/KY-016/KY-016.png</t>
  </si>
  <si>
    <t>ZMPT101B</t>
  </si>
  <si>
    <t>ZM</t>
  </si>
  <si>
    <t>VOLTAGE SENSOR MODULE</t>
  </si>
  <si>
    <t>ZMPT101B Voltage Sensor with Arduino with LM358</t>
  </si>
  <si>
    <t>https://electropeak.com/learn/interfacing-zmpt101b-voltage-sensor-with-arduino/</t>
  </si>
  <si>
    <t>https://electropeak.com/learn/wp-content/uploads/2020/10/sen-04-001-teaser-768x576.jpg</t>
  </si>
  <si>
    <t>KY-004</t>
  </si>
  <si>
    <t>BUTTON</t>
  </si>
  <si>
    <t>3-Pin KY-004 Button Key Switch Sensor</t>
  </si>
  <si>
    <t>https://sensorkit.joy-it.net/en/sensors/ky-004</t>
  </si>
  <si>
    <t>https://sensorkit.joy-it.net/files/files/sensors/KY-004/KY-004.png</t>
  </si>
  <si>
    <t>KY-001</t>
  </si>
  <si>
    <t>TEMPERATURE SENSOR (DS18B20)</t>
  </si>
  <si>
    <t>3-pin DS18B20 Temperature Sensor Module</t>
  </si>
  <si>
    <t>https://sensorkit.joy-it.net/en/sensors/ky-001</t>
  </si>
  <si>
    <t>https://sensorkit.joy-it.net/files/files/sensors/KY-001/KY-001.png</t>
  </si>
  <si>
    <t>KY-003</t>
  </si>
  <si>
    <t>HALL MAGNETIC FIELD SENSOR</t>
  </si>
  <si>
    <t>3-pin Hall-Effect Sensor Digital IC A3144 KY-003</t>
  </si>
  <si>
    <t>https://sensorkit.joy-it.net/en/sensors/ky-003</t>
  </si>
  <si>
    <t>https://sensorkit.joy-it.net/files/files/sensors/KY-003/KY-003.png</t>
  </si>
  <si>
    <t>KY-009</t>
  </si>
  <si>
    <t>RGB SMD-LED</t>
  </si>
  <si>
    <t>4-pin LED RGB SMD Module KY-009</t>
  </si>
  <si>
    <t>https://sensorkit.joy-it.net/en/sensors/ky-009</t>
  </si>
  <si>
    <t>https://sensorkit.joy-it.net/files/files/sensors/KY-009/KY-009.png</t>
  </si>
  <si>
    <t>KY-010</t>
  </si>
  <si>
    <t>LIGHT BARRIER</t>
  </si>
  <si>
    <t>3-pin Light Barrier Interrupted Module</t>
  </si>
  <si>
    <t>https://sensorkit.joy-it.net/en/sensors/ky-010</t>
  </si>
  <si>
    <t>https://sensorkit.joy-it.net/files/files/sensors/KY-010/KY-010.png</t>
  </si>
  <si>
    <t>KY-037</t>
  </si>
  <si>
    <t>MICROPHONE SOUND SENSOR</t>
  </si>
  <si>
    <t>4pin KY-037 small microphone sound sensor  with LM393</t>
  </si>
  <si>
    <t>https://sensorkit.joy-it.net/en/sensors/ky-037</t>
  </si>
  <si>
    <t>https://sensorkit.joy-it.net/files/files/sensors/KY-037/KY-037.png</t>
  </si>
  <si>
    <t>KY-018</t>
  </si>
  <si>
    <t>PHOTORESISTOR</t>
  </si>
  <si>
    <t>KY-018 LDR PHOTORESISTOR SENSOR MODULE</t>
  </si>
  <si>
    <t>https://sensorkit.joy-it.net/en/sensors/ky-018</t>
  </si>
  <si>
    <t>https://sensorkit.joy-it.net/files/files/sensors/KY-018/KY-018.png</t>
  </si>
  <si>
    <t>KY-015</t>
  </si>
  <si>
    <t>COMBI-SENSOR (TEMPERATURE &amp; HUMIDITY)</t>
  </si>
  <si>
    <t>3-pin DHT11 Temperature-Humidity Sensor Module KY-015</t>
  </si>
  <si>
    <t>https://sensorkit.joy-it.net/en/sensors/ky-015</t>
  </si>
  <si>
    <t>https://sensorkit.joy-it.net/files/files/sensors/KY-015/KY-015.png</t>
  </si>
  <si>
    <t xml:space="preserve"> SEN-13879</t>
  </si>
  <si>
    <t>SparkFun Electronics</t>
  </si>
  <si>
    <t>LOAD CELL AMPLIFIER</t>
  </si>
  <si>
    <t>IC HX711 Load Cell (Weight) Amplifier</t>
  </si>
  <si>
    <t>https://cdn.sparkfun.com/assets/b/f/5/a/e/hx711F_EN.pdf</t>
  </si>
  <si>
    <t>https://media.digikey.com/Photos/Sparkfun%20Elec%20%20Photos/MFG_SEN-13879.jpg</t>
  </si>
  <si>
    <t>BSS138LT1G</t>
  </si>
  <si>
    <t>MOSFETs</t>
  </si>
  <si>
    <t xml:space="preserve">MOSFET N-CH 50V 200MA </t>
  </si>
  <si>
    <t>https://www.onsemi.com/pdf/datasheet/bss138lt1-d.pdf</t>
  </si>
  <si>
    <t>https://media.digikey.com/Renders/On%20Semi%20Renders/SOT-23-3_527AG.jpg</t>
  </si>
  <si>
    <t>SOT23-3</t>
  </si>
  <si>
    <t>SSM3J334R,LF</t>
  </si>
  <si>
    <t xml:space="preserve">MOSFET P-CH 30V 4A </t>
  </si>
  <si>
    <t>U-MOSVI</t>
  </si>
  <si>
    <t>https://toshiba.semicon-storage.com/info/SSM3J334R_datasheet_en_20181004.pdf</t>
  </si>
  <si>
    <t>https://media.digikey.com/Renders/Toshiba%20Renders/SOT-23-3%20Flat%20Leads%20PKG.jpg</t>
  </si>
  <si>
    <t>SOT23F</t>
  </si>
  <si>
    <t>PDTC114ET,215</t>
  </si>
  <si>
    <t>TRANS PREBIAS NPN 250MW</t>
  </si>
  <si>
    <t>https://assets.nexperia.com/documents/data-sheet/PDTC114E_SER.pdf</t>
  </si>
  <si>
    <t>https://media.digikey.com/Renders/Nexperia/1727~SOT23~~3.JPG</t>
  </si>
  <si>
    <t>MMBT3904-TP</t>
  </si>
  <si>
    <t>Micro Commercial Components (MCC)</t>
  </si>
  <si>
    <t>TRANS NPN 40V 0.2A SOT23</t>
  </si>
  <si>
    <t>https://www.mccsemi.com/pdf/Products/MMBT3904(SOT-23).pdf</t>
  </si>
  <si>
    <t>https://media.digikey.com/Renders/~~Pkg.Case%20or%20Series/SOT-23-3%20PKG.jpg</t>
  </si>
  <si>
    <t>SOT-23</t>
  </si>
  <si>
    <t>DMP2045U-7</t>
  </si>
  <si>
    <t>MOSFET P-CH 20V 4.3A</t>
  </si>
  <si>
    <t>https://www.diodes.com/assets/Datasheets/DMP2045U.pdf</t>
  </si>
  <si>
    <t>https://media.digikey.com/Renders/Diodes%20Renders/31~SOT23-3~F,N,SA~3.JPG</t>
  </si>
  <si>
    <t>SOT23</t>
  </si>
  <si>
    <t>NZT660</t>
  </si>
  <si>
    <t>TRANS PNP 60V 3A SOT223-4</t>
  </si>
  <si>
    <t>https://www.onsemi.com/pdf/datasheet/nzt660a-d.pdf</t>
  </si>
  <si>
    <t>https://media.digikey.com/Renders/Fairchild%20Semi%20Renders/261;MKT-MA04A;;3.jpg</t>
  </si>
  <si>
    <t>SOT-223-4</t>
  </si>
  <si>
    <t>MMBT918LT1G</t>
  </si>
  <si>
    <t>RF TRANS NPN 15V 600MHZ</t>
  </si>
  <si>
    <t>https://www.onsemi.com/pdf/datasheet/mmbt918lt1-d.pdf</t>
  </si>
  <si>
    <t>https://media.digikey.com/Renders/On%20Semi%20Renders/SOT-23-3,TO-236-3,Micro3,SSD3,SST3.jpg</t>
  </si>
  <si>
    <t>MMBT4403-7-F</t>
  </si>
  <si>
    <t>TRANS PNP 40V 0.6A SOT23-3</t>
  </si>
  <si>
    <t>Automotive, AEC-Q101</t>
  </si>
  <si>
    <t>https://www.diodes.com/assets/Datasheets/MMBT4403.pdf</t>
  </si>
  <si>
    <t>MMBT2222A-7-F</t>
  </si>
  <si>
    <t>TRANS NPN 40V 0.6A SMD</t>
  </si>
  <si>
    <t>https://www.diodes.com/assets/Datasheets/ds30041.pdf</t>
  </si>
  <si>
    <t>QM3001K</t>
  </si>
  <si>
    <t>VBsemi Elec</t>
  </si>
  <si>
    <t>SOT23-3 MOSFETs ROHS</t>
  </si>
  <si>
    <t>https://datasheet.lcsc.com/lcsc/2008191935_VBsemi-Elec-QM3001K-VB_C725140.pdf</t>
  </si>
  <si>
    <t>https://assets.lcsc.com/images/lcsc/900x900/20230201_VBsemi-Elec-QM3001K-VB_C725140_front.jpg</t>
  </si>
  <si>
    <t>PMV65XP,215</t>
  </si>
  <si>
    <t>MOSFET P-CH 20V 2.8A TO236AB</t>
  </si>
  <si>
    <t>https://assets.nexperia.com/documents/data-sheet/PMV65XP.pdf</t>
  </si>
  <si>
    <t>ZVN3310FTA</t>
  </si>
  <si>
    <t>MOSFET N-CH 100V 100MA SOT23-3</t>
  </si>
  <si>
    <t>https://www.diodes.com/assets/Datasheets/ZVN3310F.pdf</t>
  </si>
  <si>
    <t>SOT-23-3</t>
  </si>
  <si>
    <t>BSS138PS,115</t>
  </si>
  <si>
    <t>MOSFET 2N-CH 60V 0.32A 6TSSOP</t>
  </si>
  <si>
    <t>https://assets.nexperia.com/documents/data-sheet/BSS138PS.pdf</t>
  </si>
  <si>
    <t>https://media.digikey.com/Photos/Nexperia/MFG_SOT363.jpg</t>
  </si>
  <si>
    <t>6-TSSOP</t>
  </si>
  <si>
    <t>SN65HVD234DR</t>
  </si>
  <si>
    <t>IC TRANSCEIVER HALF 1/1 8SOIC</t>
  </si>
  <si>
    <t>https://www.ti.com/lit/ds/symlink/sn65hvd233.pdf</t>
  </si>
  <si>
    <t>https://media.digikey.com/Renders/Texas%20Instr%20Renders/8-SOIC.jpg</t>
  </si>
  <si>
    <t>8-SOIC</t>
  </si>
  <si>
    <t>MAX3232ESE</t>
  </si>
  <si>
    <t>Maximum Integrated</t>
  </si>
  <si>
    <t>RS-232 Interface ICs</t>
  </si>
  <si>
    <t>RS-232 TRANSCEIVERS</t>
  </si>
  <si>
    <t>https://rocelec.widen.net/view/pdf/scsoffizpz/MAXMS13363-1.pdf</t>
  </si>
  <si>
    <t>https://media.digikey.com/Photos/Rochester/MFG_AD7243BR-REEL.jpg</t>
  </si>
  <si>
    <t xml:space="preserve">SOIC-Narrow-16 </t>
  </si>
  <si>
    <t>TPS61230DRCR</t>
  </si>
  <si>
    <t>IC REG BOOST ADJ 4A 10VSON</t>
  </si>
  <si>
    <t>https://www.ti.com/lit/ds/symlink/tps61230.pdf</t>
  </si>
  <si>
    <t>https://media.digikey.com/Renders/Texas%20Instr%20Renders/296~4204102-3~DRC~10.jpg</t>
  </si>
  <si>
    <t>10-VSON (3x3)</t>
  </si>
  <si>
    <t>RF Semiconductors and Devices</t>
  </si>
  <si>
    <t>Integrated circuits designed specifically for radio frequency, microwave, and other wireless communications or data transmission applications</t>
  </si>
  <si>
    <t>ESP-WROOM-02D (4MB)</t>
  </si>
  <si>
    <t>Espressif Systems</t>
  </si>
  <si>
    <t>RX TXRX MOD WIFI TRACE ANT SMD</t>
  </si>
  <si>
    <t>ESP</t>
  </si>
  <si>
    <t>https://www.espressif.com/sites/default/files/documentation/esp-wroom-02u_esp-wroom-02d_datasheet_en.pdf</t>
  </si>
  <si>
    <t>https://media.digikey.com/Photos/Espressif%20Systems/MFG_ESP-WROOM-02D.jpg</t>
  </si>
  <si>
    <t>18-SMD Module</t>
  </si>
  <si>
    <t>XKT-412</t>
  </si>
  <si>
    <t>ElecFreaks</t>
  </si>
  <si>
    <t>Wireless Power Supply Module</t>
  </si>
  <si>
    <t>XKT-412 1.5AUSB power chip wireless charging wireless power chip</t>
  </si>
  <si>
    <t>https://datasheet4u.com/datasheet-pdf/ETC/XKT-412/pdf.php?id=1253033</t>
  </si>
  <si>
    <t>https://i.ebayimg.com/images/g/VskAAOSws7FciMTR/s-l300.jpg</t>
  </si>
  <si>
    <t>SOP-8</t>
  </si>
  <si>
    <t>TPS563201DDCR</t>
  </si>
  <si>
    <t>IC REG BUCK ADJ 3A TSOT23-6</t>
  </si>
  <si>
    <t>D-CAP2™, Eco-Mode™</t>
  </si>
  <si>
    <t>https://www.ti.com/lit/ds/symlink/tps563201.pdf</t>
  </si>
  <si>
    <t>https://media.digikey.com/Photos/Texas%20Instr%20Photos/MFG_LMR16006XDDCR.jpg</t>
  </si>
  <si>
    <t>SOT-23-THIN</t>
  </si>
  <si>
    <t>ATTINY1616-MFR</t>
  </si>
  <si>
    <t>IC MCU 8BIT 16KB FLASH 20VQFN</t>
  </si>
  <si>
    <t>tinyAVR™ 1</t>
  </si>
  <si>
    <t>http://ww1.microchip.com/downloads/en/DeviceDoc/ATtiny1614-16-17-DataSheet-DS40002204A.pdf</t>
  </si>
  <si>
    <t>https://media.digikey.com/renders/Microchip%20Tech%20Renders/150;20VQFN-.90-3x3;ZCL;20.jpg</t>
  </si>
  <si>
    <t>20-VQFN (3x3)</t>
  </si>
  <si>
    <t>MCP73831T-2ACI/OT</t>
  </si>
  <si>
    <t>Battery Management</t>
  </si>
  <si>
    <t>IC BATT CNTL LI-ION 1CEL SOT23-5</t>
  </si>
  <si>
    <t>https://ww1.microchip.com/downloads/en/DeviceDoc/MCP73831-Family-Data-Sheet-DS20001984H.pdf</t>
  </si>
  <si>
    <t>https://media.digikey.com/Renders/Microchip%20Tech%20Renders/150~C04-091~CT,%20OT~5.JPG</t>
  </si>
  <si>
    <t>SOT-23-5</t>
  </si>
  <si>
    <t>TXB0106PWR</t>
  </si>
  <si>
    <t>Voltage Level Shifters</t>
  </si>
  <si>
    <t>IC TRNSLTR BIDIRECTIONAL 16TSSOP</t>
  </si>
  <si>
    <t>https://www.ti.com/lit/ds/symlink/txb0106.pdf</t>
  </si>
  <si>
    <t>https://media.digikey.com/Renders/Texas%20Instr%20Renders/296~4040064-4~PW~16.JPG</t>
  </si>
  <si>
    <t>16-TSSOP</t>
  </si>
  <si>
    <t>XKT-335</t>
  </si>
  <si>
    <t>XKT-335 High Current Low Price Wireless Power Wireless Charging Power Chip IC</t>
  </si>
  <si>
    <t>https://cb-electronics.com/products/xkt-335/</t>
  </si>
  <si>
    <t>https://img.alicdn.com/imgextra/i3/242113680/TB23whHbl8lpuFjy0FnXXcZyXXa_!!242113680.jpg</t>
  </si>
  <si>
    <t>LMV358MMX</t>
  </si>
  <si>
    <t>IC OPAMP GP 2 CIRCUIT 8VSSOP</t>
  </si>
  <si>
    <t>LMV</t>
  </si>
  <si>
    <t>https://www.ti.com/lit/ds/symlink/lmv321-n.pdf</t>
  </si>
  <si>
    <t>https://media.digikey.com/Renders/Texas%20Instr%20Renders/296~4073329~DGK~8.JPG</t>
  </si>
  <si>
    <t>8-VSSOP</t>
  </si>
  <si>
    <t>AP2112K-3.3TRG1</t>
  </si>
  <si>
    <t>IC REG LINEAR 3.3V 600MA SOT25</t>
  </si>
  <si>
    <t>https://www.diodes.com/assets/Datasheets/AP2112.pdf</t>
  </si>
  <si>
    <t>https://media.digikey.com/Renders/Diodes%20Renders/31~SOT25~DA,-HR,-HT,-W~5.jpg</t>
  </si>
  <si>
    <t>SOT-25</t>
  </si>
  <si>
    <t>TL431QD</t>
  </si>
  <si>
    <t>IC VREF SHUNT ADJ 2.2% 8SOIC</t>
  </si>
  <si>
    <t>https://www.ti.com/lit/ds/symlink/tl431.pdf</t>
  </si>
  <si>
    <t>AMS1117</t>
  </si>
  <si>
    <t>Advanced Monolithic Systems</t>
  </si>
  <si>
    <t>800mA Low Dropout Voltage Regulator</t>
  </si>
  <si>
    <t>http://www.advanced-monolithic.com/pdf/ds1117.pdf</t>
  </si>
  <si>
    <t>https://ae01.alicdn.com/kf/HTB1.7FlgIbI8KJjy1zdq6ze1VXaG/500PCS-LOT-AMS1117-3-3-AMS1117-AMS1117-3-3V-1117-3-3V-SOT-223-1A-Best.jpg_.webp</t>
  </si>
  <si>
    <t>SOT-223</t>
  </si>
  <si>
    <t>PCF8563T/5,518</t>
  </si>
  <si>
    <t>NXP Semiconductors</t>
  </si>
  <si>
    <t>REAL-TIME CLOCK/CALENDAR</t>
  </si>
  <si>
    <t>https://www.nxp.com/docs/en/data-sheet/PCF8563.pdf</t>
  </si>
  <si>
    <t>https://media.digikey.com/Renders/NXP%20Semi%20Renders/568;SOT96-1;%20D,S,T,TN2;8.jpg</t>
  </si>
  <si>
    <t>8-SO</t>
  </si>
  <si>
    <t>STM32F078CBT6</t>
  </si>
  <si>
    <t>IC MCU 32BIT 128KB FLASH 48LQFP</t>
  </si>
  <si>
    <t>STM32F0</t>
  </si>
  <si>
    <t>https://www.st.com/content/ccc/resource/technical/document/datasheet/f2/df/44/38/5a/84/4d/30/DM00109263.pdf/files/DM00109263.pdf/jcr:content/translations/en.DM00109263.pdf</t>
  </si>
  <si>
    <t>https://media.digikey.com/Renders/STMicro%20Renders/497~5B_ME_V2~T~48.jpg</t>
  </si>
  <si>
    <t>48-LQFP (7x7)</t>
  </si>
  <si>
    <t>BQ21040DBVR</t>
  </si>
  <si>
    <t>IC BATT CHG LI-ION 1CELL SOT23-6</t>
  </si>
  <si>
    <t>https://www.ti.com/lit/ds/symlink/bq21040.pdf</t>
  </si>
  <si>
    <t>https://media.digikey.com/renders/Texas%20Instr%20Renders/SOT-23-6%20PKG.jpg</t>
  </si>
  <si>
    <t>SOT-23-6</t>
  </si>
  <si>
    <t>TLV431BFTA</t>
  </si>
  <si>
    <t>IC VREF SHUNT ADJ 0.5% SOT23</t>
  </si>
  <si>
    <t>https://www.diodes.com/assets/Datasheets/TLV431.pdf</t>
  </si>
  <si>
    <t>TPS63070RNMR</t>
  </si>
  <si>
    <t>IC REG BCK BST ADJ 3.6A 15VQFN</t>
  </si>
  <si>
    <t>https://www.ti.com/lit/ds/symlink/tps63070.pdf</t>
  </si>
  <si>
    <t>https://media.digikey.com/Renders/Texas%20Instr%20Renders/296;-4222000;-RMN;-15.jpg</t>
  </si>
  <si>
    <t>15-VQFN-HR (3x2.5)</t>
  </si>
  <si>
    <t>AX5523CA</t>
  </si>
  <si>
    <t>Axelite Tech</t>
  </si>
  <si>
    <t xml:space="preserve">DC-DC Converters </t>
  </si>
  <si>
    <t xml:space="preserve">2A 12V SOT-23-6 DC-DC Converters </t>
  </si>
  <si>
    <t>http://www.axelite.com.tw/Doc/BinaryData.aspx?id=3d4c1a9a-8439-4ec4-9229-d7ddaa5b23fa</t>
  </si>
  <si>
    <t>https://assets.lcsc.com/images/lcsc/900x900/20180914_Axelite-Tech-AX5523CA_C157694_front.jpg</t>
  </si>
  <si>
    <t>SP3014-02UTG</t>
  </si>
  <si>
    <t>Littelfuse Inc.</t>
  </si>
  <si>
    <t>Unidirectional 8A (8/20us) 6.8V (Typ) 5V (Max) uDFN-6 TVS ROHS</t>
  </si>
  <si>
    <t>https://www.littelfuse.com/media?resourcetype=datasheets&amp;itemid=bc095d18-cf49-4d06-b415-3b20ec906b2e&amp;filename=littelfuse-tvs-diode-array-sp3014-datasheet.pdf</t>
  </si>
  <si>
    <t>https://cdn2.webdamdb.com/1280_o2JHEA1DDLx55cR1.jpg</t>
  </si>
  <si>
    <t>uDFN-6</t>
  </si>
  <si>
    <t>TL331IDBVR</t>
  </si>
  <si>
    <t>CMOS, MOS, Open-Collector, TTL 700uA SOT-23-5 Comparators</t>
  </si>
  <si>
    <t>https://www.ti.com/lit/ds/symlink/tl331-q1.pdf</t>
  </si>
  <si>
    <t>https://www.ti.com/content/dam/ticom/images/products/package/d/dbv0005a.png</t>
  </si>
  <si>
    <t>FZT788BTA</t>
  </si>
  <si>
    <t>TRANS PNP 15V 3A SOT-223</t>
  </si>
  <si>
    <t>https://www.diodes.com/assets/Datasheets/FZT788B.pdf</t>
  </si>
  <si>
    <t>https://media.digikey.com/Renders/Diodes%20Renders/31~SOT223~E,-G,-H~4.jpg</t>
  </si>
  <si>
    <t>SOT-223-3</t>
  </si>
  <si>
    <t>LDL1117S33R</t>
  </si>
  <si>
    <t>IC REG LINEAR 3.3V 1.2A SOT223</t>
  </si>
  <si>
    <t>https://www.st.com/content/ccc/resource/technical/document/datasheet/group3/0e/5a/00/ca/10/1a/4f/a5/DM00366442/files/DM00366442.pdf/jcr:content/translations/en.DM00366442.pdf</t>
  </si>
  <si>
    <t>https://media.digikey.com/Renders/STMicro%20Renders/SOT-223.jpg</t>
  </si>
  <si>
    <t>LM393DT</t>
  </si>
  <si>
    <t>Comparators</t>
  </si>
  <si>
    <t>IC COMPARATOR DUAL 0.4MA 8-SOIC</t>
  </si>
  <si>
    <t>https://www.st.com/content/ccc/resource/technical/document/datasheet/group1/b4/cc/cf/13/18/28/44/f5/CD00000465/files/CD00000465.pdf/jcr:content/translations/en.CD00000465.pdf</t>
  </si>
  <si>
    <t>https://media.digikey.com/Renders/STMicro%20Renders/497~8SOIC-3.9~~8.jpg</t>
  </si>
  <si>
    <t>8-SOP</t>
  </si>
  <si>
    <t>NCP3335ADM330R2G</t>
  </si>
  <si>
    <t>IC REG LINEAR 3.3V 500MA MICRO8</t>
  </si>
  <si>
    <t>https://www.onsemi.com/pdf/datasheet/ncp3335a-d.pdf</t>
  </si>
  <si>
    <t>https://media.digikey.com/Renders/On%20Semi%20Renders/488~846A-02~DM,-CUA,-DMR2,-RM~8.jpg</t>
  </si>
  <si>
    <t>8-MSOP</t>
  </si>
  <si>
    <t>Memory</t>
  </si>
  <si>
    <t>Integrated circuits that can store data or can be used to process code.There are a few different types of memory chips: volatile (like DRAM, SRAM, SDRAM) or non-volatile (ROM, EPROM, FLASH).</t>
  </si>
  <si>
    <t>MT25QL128ABA1EW9-0SIT</t>
  </si>
  <si>
    <t>Micron Technology Inc.</t>
  </si>
  <si>
    <t>Flash</t>
  </si>
  <si>
    <t>IC FLASH 128MBIT SPI 8WPDFN</t>
  </si>
  <si>
    <t>https://media-www.micron.com/-/media/client/global/documents/products/data-sheet/nor-flash/serial-nor/mt25q/die-rev-a/mt25q_qlhs_l_128_aba_0.pdf</t>
  </si>
  <si>
    <t>https://media.digikey.com/Renders/Micron%20Renders/557;8WPDFN-.8-6x8;W9;8.jpg</t>
  </si>
  <si>
    <t>8-WPDFN (8x6)</t>
  </si>
  <si>
    <t>STLD40DPUR</t>
  </si>
  <si>
    <t>LED Drivers</t>
  </si>
  <si>
    <t>IC LED DRVR RGLTR DIM 20MA 8QFN</t>
  </si>
  <si>
    <t>https://www.st.com/content/ccc/resource/technical/document/datasheet/5b/92/e8/f8/41/e5/43/59/CD00098098.pdf/files/CD00098098.pdf/jcr:content/translations/en.CD00098098.pdf</t>
  </si>
  <si>
    <t>https://media.digikey.com/Renders/~~Pkg.Case%20or%20Series/8-VDFN.jpg</t>
  </si>
  <si>
    <t>8-QFN (3x3)</t>
  </si>
  <si>
    <t>MIC5317-1.0YM5-TR</t>
  </si>
  <si>
    <t>IC REG LINEAR 1V 150MA SOT23-5</t>
  </si>
  <si>
    <t>https://ww1.microchip.com/downloads/en/DeviceDoc/MIC5317-High-Performance-Single-150mA-LDO-DS20006195B.pdf</t>
  </si>
  <si>
    <t>https://media.digikey.com/Renders/Microchip%20Tech%20Renders/150~SOT23-5LD-PD-1-B~M5~5.JPG</t>
  </si>
  <si>
    <t>SP0503BAHTG</t>
  </si>
  <si>
    <t>TVS DIODE 5.5VWM 8.5VC SOT143-4</t>
  </si>
  <si>
    <t>SP05, SPA®</t>
  </si>
  <si>
    <t>https://www.littelfuse.com/~/media/electronics/datasheets/tvs_diode_arrays/littelfuse_tvs_diode_array_sp05_datasheet.pdf.pdf</t>
  </si>
  <si>
    <t>https://media.digikey.com/Renders/Diodes%20Renders/SOT143.jpg</t>
  </si>
  <si>
    <t>SOT-143-4</t>
  </si>
  <si>
    <t>ESP-WROOM-02</t>
  </si>
  <si>
    <t>https://www.espressif.com/sites/default/files/documentation/esp32_datasheet_en.pdf</t>
  </si>
  <si>
    <t>https://media.digikey.com/Photos/Espressif%20Systems/MFG_ESP-WROOM-02.jpg</t>
  </si>
  <si>
    <t>INA332AIDGKR</t>
  </si>
  <si>
    <t>IC INST AMP 1 CIRCUIT 8VSSOP</t>
  </si>
  <si>
    <t>https://www.ti.com/lit/ds/symlink/ina2332.pdf</t>
  </si>
  <si>
    <t>CP2102N-A02-GQFN24R</t>
  </si>
  <si>
    <t>Silicon Labs</t>
  </si>
  <si>
    <t>USB-to-UART</t>
  </si>
  <si>
    <t>IC USB TO UART BRIDGE QFN24</t>
  </si>
  <si>
    <t>USBXpress™</t>
  </si>
  <si>
    <t>https://www.silabs.com/documents/public/data-sheets/cp2102n-datasheet.pdf</t>
  </si>
  <si>
    <t>https://media.digikey.com/Renders/Skyworks%20Solutions%20Renders/336~24QFN-,90-4x4~M~24.jpg</t>
  </si>
  <si>
    <t>24-QFN (4x4)</t>
  </si>
  <si>
    <t>ADM7172ACPZ-4.2-R7</t>
  </si>
  <si>
    <t>IC REG LINEAR 4.2V 2A 8LFCSP</t>
  </si>
  <si>
    <t>https://www.analog.com/media/en/technical-documentation/data-sheets/ADM7172.pdf</t>
  </si>
  <si>
    <t>https://media.digikey.com/Renders/Analog%20Devices%20Renders/505~CP-8-21~CP~8.jpg</t>
  </si>
  <si>
    <t>8-LFCSP-WD (3x3)</t>
  </si>
  <si>
    <t>CD74HC04M96</t>
  </si>
  <si>
    <t>IC INVERTER 6CH 6-INP 14SOIC</t>
  </si>
  <si>
    <t>https://www.ti.com/lit/ds/symlink/cd74hct04.pdf</t>
  </si>
  <si>
    <t>https://media.digikey.com/Renders/Texas%20Instr%20Renders/296~4040047-5~D~14.JPG</t>
  </si>
  <si>
    <t>14-SOIC</t>
  </si>
  <si>
    <t>ATSAMD21J18A-AUT</t>
  </si>
  <si>
    <t>IC MCU 32BIT 256KB FLASH 64TQFP</t>
  </si>
  <si>
    <t>SAM D21J</t>
  </si>
  <si>
    <t>https://ww1.microchip.com/downloads/en/DeviceDoc/SAM-D21-DA1-Family-Data-Sheet-DS40001882H.pdf</t>
  </si>
  <si>
    <t>https://media.digikey.com/Renders/Microchip%20Tech%20Renders/150~64TQFP-1.2-10x10~~64.JPG</t>
  </si>
  <si>
    <t>64-TQFP (10x10)</t>
  </si>
  <si>
    <t>ATMEGA328P-AUR</t>
  </si>
  <si>
    <t>IC MCU 8BIT 32KB FLASH 32TQFP</t>
  </si>
  <si>
    <t>https://ww1.microchip.com/downloads/en/DeviceDoc/ATmega48A-PA-88A-PA-168A-PA-328-P-DS-DS40002061B.pdf</t>
  </si>
  <si>
    <t>https://media.digikey.com/Renders/Microchip%20Tech%20Renders/150;-32A;-A,-AU;-32-Top.jpg</t>
  </si>
  <si>
    <t>32-TQFP (7x7)</t>
  </si>
  <si>
    <t>ESP32-WROOM-32U-N4</t>
  </si>
  <si>
    <t>SMD WiFi Modules ROHS</t>
  </si>
  <si>
    <t>ESP32</t>
  </si>
  <si>
    <t>https://www.espressif.com/sites/default/files/documentation/esp32-wroom-32d_esp32-wroom-32u_datasheet_en.pdf</t>
  </si>
  <si>
    <t>https://media.digikey.com/Photos/Espressif%20Systems/MFG_ESP32-WROOM-32U.jpg</t>
  </si>
  <si>
    <t>ESP32-WROOM-32</t>
  </si>
  <si>
    <t>RX TXRX MOD WIFI SURFACE MOUNT</t>
  </si>
  <si>
    <t>https://www.espressif.com/sites/default/files/documentation/esp32-wroom-32_datasheet_en.pdf</t>
  </si>
  <si>
    <t>https://media.digikey.com/Photos/Espressif%20Systems/ESP32-WROOM-32.JPG</t>
  </si>
  <si>
    <t>LM358BIDR</t>
  </si>
  <si>
    <t>IC OPAMP GP 2 CIRCUIT 8SOIC</t>
  </si>
  <si>
    <t>https://www.ti.com/lit/ds/symlink/lm358.pdf</t>
  </si>
  <si>
    <t>OPA2350UA</t>
  </si>
  <si>
    <t>MicroAmplifier™</t>
  </si>
  <si>
    <t>https://www.ti.com/lit/ds/symlink/opa350.pdf</t>
  </si>
  <si>
    <t>9-SOIC</t>
  </si>
  <si>
    <t>EFR32BG13P532F512GM48-C</t>
  </si>
  <si>
    <t>IC RF TXRX+MCU 802.15.4 48VFQFN</t>
  </si>
  <si>
    <t>https://www.silabs.com/documents/public/data-sheets/efr32bg13-datasheet.pdf</t>
  </si>
  <si>
    <t>https://media.digikey.com/Photos/Silicon%20Labs%20Photos/MFG_EFR32xG13.jpg</t>
  </si>
  <si>
    <t>48-QFN (7x7)</t>
  </si>
  <si>
    <t>STM32F746BGT6</t>
  </si>
  <si>
    <t>IC MCU 32BIT 1MB FLASH 208LQFP</t>
  </si>
  <si>
    <t>STM32F7</t>
  </si>
  <si>
    <t>https://www.st.com/content/ccc/resource/technical/document/datasheet/96/ed/61/9b/e0/6c/45/0b/DM00166116.pdf/files/DM00166116.pdf/jcr:content/translations/en.DM00166116.pdf</t>
  </si>
  <si>
    <t>https://media.digikey.com/Renders/STMicro%20Renders/497;208-1.6-28x28;;208.jpg</t>
  </si>
  <si>
    <t>208-LQFP (28x28)</t>
  </si>
  <si>
    <t>ST1S32PUR</t>
  </si>
  <si>
    <t>IC REG BUCK ADJ 4A 8VFDFPN</t>
  </si>
  <si>
    <t>https://www.st.com/content/ccc/resource/technical/document/datasheet/e3/0d/7c/fc/df/6b/4e/9f/DM00056321.pdf/files/DM00056321.pdf/jcr:content/translations/en.DM00056321.pdf</t>
  </si>
  <si>
    <t>8-DFN (4x4)</t>
  </si>
  <si>
    <t>ESP32-WROOM-32D (16MB)</t>
  </si>
  <si>
    <t>https://media.digikey.com/Photos/Espressif%20Systems/MFG_ESP32-WROOM-32D.jpg</t>
  </si>
  <si>
    <t>38-SMD Module</t>
  </si>
  <si>
    <t>UC200TGLAA-N06-SNNSA</t>
  </si>
  <si>
    <t>Quectel</t>
  </si>
  <si>
    <t>RF TXRX MOD CELLULAR SMD</t>
  </si>
  <si>
    <t>UC200T</t>
  </si>
  <si>
    <t>https://www.quectel.com/wp-content/uploads/pdfupload/Quectel_UC200T_UMTS&amp;HSPA_Specification_V1.0.pdf</t>
  </si>
  <si>
    <t>https://eu.mouser.com/images/quectel/images/UC200T_series_DSL.jpg</t>
  </si>
  <si>
    <t>LMZ10503TZ-ADJ/NOPB</t>
  </si>
  <si>
    <t>DC DC CONVERTER 0.8-5V</t>
  </si>
  <si>
    <t>SIMPLE SWITCHER®</t>
  </si>
  <si>
    <t>https://www.ti.com/lit/ds/symlink/lmz10503.pdf</t>
  </si>
  <si>
    <t>https://media.digikey.com/Photos/National%20Semi%20Photos/MFG_LMZ1xxxx%20SSPM.jpg</t>
  </si>
  <si>
    <t>TO-PMOD-7</t>
  </si>
  <si>
    <t>XKT-510</t>
  </si>
  <si>
    <t>Wireless Charger Transmitter</t>
  </si>
  <si>
    <t>T3168-XKT-510 XKT-3168 SOP-8 Wireless Charging Wireless Power Chip</t>
  </si>
  <si>
    <t>https://datasheet4u.com/datasheet-pdf/ElecFreaks/XKT-510/pdf.php?id=916346</t>
  </si>
  <si>
    <t>https://uge-one.com/image/cache/catalog/0%200%201%201%20By%20UGE/xkt-510-integrated-wireless-charger-transmitter-ic-smd-sop8-550x550.webp</t>
  </si>
  <si>
    <t xml:space="preserve">SOP-8 </t>
  </si>
  <si>
    <t>LY68L6400SLIT</t>
  </si>
  <si>
    <t>Lyontek Inc</t>
  </si>
  <si>
    <t>SRAM</t>
  </si>
  <si>
    <t>SPI/ QPI 64Mb (8M x 8) 2.7V ~ 3.6V Volatile SOP-8_150mil SRAM ROHS</t>
  </si>
  <si>
    <t>http://www.lyontek.com.tw/pdf/ddr/LY68L6400-1.1.pdf</t>
  </si>
  <si>
    <t>https://assets.lcsc.com/images/lcsc/900x900/20230111_Lyontek-Inc--LY68L6400SLIT_C261881_front.jpg</t>
  </si>
  <si>
    <t>TPS61089RNRT</t>
  </si>
  <si>
    <t>IC REG BOOST ADJ 7A 11VQFN</t>
  </si>
  <si>
    <t>https://www.ti.com/lit/ds/symlink/tps61089.pdf</t>
  </si>
  <si>
    <t>https://media.digikey.com/Renders/Texas%20Instr%20Renders/296;-4222143;-RNR;-11.jpg</t>
  </si>
  <si>
    <t>11-VQFN-HR (2.5x2)</t>
  </si>
  <si>
    <t>UMH3NTN</t>
  </si>
  <si>
    <t>Rohm Semiconductor</t>
  </si>
  <si>
    <t>TRANS 2NPN PREBIAS 0.15W UMT6</t>
  </si>
  <si>
    <t>https://fscdn.rohm.com/en/products/databook/datasheet/discrete/transistor/digital/umh3ntn-e.pdf</t>
  </si>
  <si>
    <t>https://media.digikey.com/Renders/Rohm%20Renders/846;UMT6;UM;6.jpg</t>
  </si>
  <si>
    <t>UMT6</t>
  </si>
  <si>
    <t>BQ24092DGQR</t>
  </si>
  <si>
    <t>IC BATT CHG LI-ION 1CELL 10MSOP</t>
  </si>
  <si>
    <t>https://www.ti.com/lit/ds/symlink/bq24092.pdf</t>
  </si>
  <si>
    <t>https://media.digikey.com/Renders/~~Pkg.Case%20or%20Series/10-TFSOP,%2010-MSOP.%20Exposed%20Pad.jpg</t>
  </si>
  <si>
    <t>10-HVSSOP</t>
  </si>
  <si>
    <t>ESP32-PICO-D4</t>
  </si>
  <si>
    <t>https://www.espressif.com/sites/default/files/documentation/esp32-pico-d4_datasheet_en.pdf</t>
  </si>
  <si>
    <t>https://media.digikey.com/Photos/Espressif%20Systems/MFG_ESP32-PICO-D4.jpg</t>
  </si>
  <si>
    <t>48-SMD Module</t>
  </si>
  <si>
    <t>TMC2209-LA-T</t>
  </si>
  <si>
    <t>Trinamic Motion Control GmbH</t>
  </si>
  <si>
    <t>IC MTR DRV 4.75-28V QFN28</t>
  </si>
  <si>
    <t>stallGuard™</t>
  </si>
  <si>
    <t>https://media.digikey.com/pdf/Data%20Sheets/Trinamic%20Motion%20Control%20PDFs/TMC2209_Rev.1.08.pdf</t>
  </si>
  <si>
    <t>https://media.digikey.com/Renders/Trinamic%20Renders/1460~28QFN-,90-5x5~L~28.jpg</t>
  </si>
  <si>
    <t>28-QFN (5x5)</t>
  </si>
  <si>
    <t>LT3652EDD#PBF</t>
  </si>
  <si>
    <t>DFN-12 Battery Management ICs ROHS</t>
  </si>
  <si>
    <t>https://www.analog.com/media/en/technical-documentation/data-sheets/3652fe.pdf</t>
  </si>
  <si>
    <t>https://assets.lcsc.com/images/lcsc/900x900/20221231_Analog-Devices-LT3652EDD-PBF_C96510_front.jpg</t>
  </si>
  <si>
    <t>DFN-12</t>
  </si>
  <si>
    <t>HX711</t>
  </si>
  <si>
    <t>Avia Semiconductor</t>
  </si>
  <si>
    <t>24 bit ADC</t>
  </si>
  <si>
    <t>https://www.mouser.com/datasheet/2/813/hx711_english-1022875.pdf</t>
  </si>
  <si>
    <t>https://cdn3.vectorstock.com/i/1000x1000/37/07/not-available-sign-or-stamp-vector-22523707.jpg</t>
  </si>
  <si>
    <t>SOIC16</t>
  </si>
  <si>
    <t>AP6714M10G-13</t>
  </si>
  <si>
    <t>IC REG BOOST ADJ 1.6A 10MSOP</t>
  </si>
  <si>
    <t>https://www.diodes.com/assets/Datasheets/AP6714.pdf</t>
  </si>
  <si>
    <t>https://media.digikey.com/Renders/Diodes%20Renders/31~10MSOP-3~~10.JPG</t>
  </si>
  <si>
    <t>10MSOP</t>
  </si>
  <si>
    <t>ESp32-Wroom-32E</t>
  </si>
  <si>
    <t>SMD38,18x25.5x3.1 WiFi Modules ROHS</t>
  </si>
  <si>
    <t>https://datasheet.lcsc.com/lcsc/2207151900_Espressif-Systems-ESP32-WROOM-32E-N4_C701341.pdf</t>
  </si>
  <si>
    <t>https://assets.lcsc.com/images/lcsc/900x900/20230202_Espressif-Systems-ESP32-WROOM-32E-N4_C701341_front.jpg</t>
  </si>
  <si>
    <t>MIC2004-0.5YM5</t>
  </si>
  <si>
    <t>Hot Swap Controllers</t>
  </si>
  <si>
    <t>SOT-23-5 Pre-ordered MCUs ROHS</t>
  </si>
  <si>
    <t>https://ww1.microchip.com/downloads/aemDocuments/documents/APID/ProductDocuments/DataSheets/MIC20xx-Fixed-and-Adjustable-Current-Limiting-Power-Distribution-Switches-DS20006486C.pdf</t>
  </si>
  <si>
    <t>https://www.microchip.com/content/dam/mchp/mrt-dam/ic-images/sot-23/5-lead-6bx/MIC2004-6BX-Regular.jpg</t>
  </si>
  <si>
    <t>MAX6381LT30D3+T</t>
  </si>
  <si>
    <t>Voltage Supervisors</t>
  </si>
  <si>
    <t>IC MPU/RESET CIRC 3.00V 6-UDFN</t>
  </si>
  <si>
    <t>https://www.analog.com/media/en/technical-documentation/data-sheets/max6381-max6390.pdf</t>
  </si>
  <si>
    <t>https://media.digikey.com/Renders/Maxim%20Renders/175;21-0147;LT;6.jpg</t>
  </si>
  <si>
    <t>6-uDFN (1.5x1)</t>
  </si>
  <si>
    <t>SN74LV1T34DBVR</t>
  </si>
  <si>
    <t>IC BUF NON-INVERT 5.5V SOT23-5</t>
  </si>
  <si>
    <t>https://www.ti.com/lit/ds/symlink/sn74lv1t34.pdf</t>
  </si>
  <si>
    <t>https://media.digikey.com/Renders/Texas%20Instr%20Renders/296~4073253-4~DBV~5.JPG</t>
  </si>
  <si>
    <t>AZ34063UMTR-G1</t>
  </si>
  <si>
    <t>IC REG BUCK BST ADJ 1.5A 8SOIC</t>
  </si>
  <si>
    <t>https://www.diodes.com/assets/Datasheets/AZ34063U.pdf</t>
  </si>
  <si>
    <t>https://media.digikey.com/Renders/Diodes%20Renders/8-SOIC.jpg</t>
  </si>
  <si>
    <t>MIC94082YFT-TR</t>
  </si>
  <si>
    <t>Load Switch</t>
  </si>
  <si>
    <t>IC PWR SWITCH P-CHAN 1:1 4TMLF</t>
  </si>
  <si>
    <t>https://ww1.microchip.com/downloads/aemDocuments/documents/OTH/ProductDocuments/DataSheets/MIC9408x-67mOhm-RDSON-2A-High-Side-Load-Switch-DS20006118A.pdf</t>
  </si>
  <si>
    <t>https://media.digikey.com/Renders/Micrel%20Renders/4-MLF.jpg</t>
  </si>
  <si>
    <t>4-TMLF</t>
  </si>
  <si>
    <t>TPS54620RHLR</t>
  </si>
  <si>
    <t>IC REG BUCK ADJUSTABLE 6A 14VQFN</t>
  </si>
  <si>
    <t>https://www.ti.com/lit/ds/symlink/tps54620.pdf</t>
  </si>
  <si>
    <t>https://media.digikey.com/Renders/Texas%20Instr%20Renders/14-QFN%20Exp%20Pad.jpg</t>
  </si>
  <si>
    <t>14-VQFN (3.5x3.5)</t>
  </si>
  <si>
    <t>PS2801C-1-F3-A</t>
  </si>
  <si>
    <t>CEL</t>
  </si>
  <si>
    <t>Phototransistor</t>
  </si>
  <si>
    <t xml:space="preserve"> SOP-4_1.27 Optocouplers - Phototransistor Output ROHS</t>
  </si>
  <si>
    <t>https://media.digikey.com/pdf/Data%20Sheets/NEC%20PDFs/PS2801C-1,PS2801C-4.pdf</t>
  </si>
  <si>
    <t>https://media.digikey.com/photos/Avago%20Tech%20Photos/ACPL-217-500E.JPG</t>
  </si>
  <si>
    <t>SOP-4_1.27</t>
  </si>
  <si>
    <t>Passive Components</t>
  </si>
  <si>
    <t>Components that are capable of affecting the flow of an electrical current, but don’t generate, amplify or control it.</t>
  </si>
  <si>
    <t>Capacitors</t>
  </si>
  <si>
    <t>Capacitors are two-terminal components used for filtering, energy storage and voltage spike suppression.</t>
  </si>
  <si>
    <t>F931A107MBA</t>
  </si>
  <si>
    <t>KYOCERA AVX</t>
  </si>
  <si>
    <t>Tantalum Capacitors</t>
  </si>
  <si>
    <t>CAP TANT 100UF 20% 10V 1411</t>
  </si>
  <si>
    <t>F93</t>
  </si>
  <si>
    <t>https://datasheets.kyocera-avx.com/F93.pdf</t>
  </si>
  <si>
    <t>https://media.digikey.com/photos/AVX%20Photos/F93%20SERIES%201411(3528)%20PKG.JPG</t>
  </si>
  <si>
    <t>1411 (3528 Metric) 1210</t>
  </si>
  <si>
    <t>RN42N-I/RM</t>
  </si>
  <si>
    <t>RF TXRX MOD BLUETOOTH U.FL SMD</t>
  </si>
  <si>
    <t>https://media.digikey.com/pdf/Data%20Sheets/Microchip%20PDFs/RN42_RN42N.pdf</t>
  </si>
  <si>
    <t>https://media.digikey.com/Photos/Roving%20Networks%20Photos/RN-42-N.jpg</t>
  </si>
  <si>
    <t>24-SMD Module</t>
  </si>
  <si>
    <t>EMI / RFI Components</t>
  </si>
  <si>
    <t xml:space="preserve">MI/RFI (Electromagnetic Interference/Radio Frequency Interference) components are filters designed for signal/power lines applications to pass a defined band and reject undesired emissions. </t>
  </si>
  <si>
    <t>BLM18AG601SN1D</t>
  </si>
  <si>
    <t>Murata Electronics</t>
  </si>
  <si>
    <t>Ferrite Beads and Chips</t>
  </si>
  <si>
    <t>FERRITE BEAD 600 OHM 0603 1LN</t>
  </si>
  <si>
    <t>EMIFIL®, BLM18</t>
  </si>
  <si>
    <t>https://www.murata.com/en-us/products/productdata/8796738650142/ENFA0003.pdf</t>
  </si>
  <si>
    <t>https://media.digikey.com/Renders/Murata%20Renders/0603(LQG18).jpg</t>
  </si>
  <si>
    <t xml:space="preserve">IND 0603 </t>
  </si>
  <si>
    <t>MMZ0603S601CT000</t>
  </si>
  <si>
    <t>TDK Corporation</t>
  </si>
  <si>
    <t>FERRITE BEAD 600 OHM 0201 1LN</t>
  </si>
  <si>
    <t>MMZ</t>
  </si>
  <si>
    <t>https://product.tdk.com/en/system/files?file=dam/doc/product/emc/emc/beads/catalog/beads_commercial_signal_mmz0603_en.pdf</t>
  </si>
  <si>
    <t>https://media.digikey.com/Renders/TDK%20Renders/MMZ0603xxxxCT000.jpg</t>
  </si>
  <si>
    <t>MI/RFI (Electromagnetic Interference/Radio Frequency Interference) components are filters designed for signal/power lines applications to pass a defined band and reject undesired emissions. </t>
  </si>
  <si>
    <t>FCM1608KF-601T03</t>
  </si>
  <si>
    <t>TAI-TECH</t>
  </si>
  <si>
    <t>600Ω @ 100MHz 1 350mA 500mΩ 0603 Ferrite Beads ROHS</t>
  </si>
  <si>
    <t>FCM</t>
  </si>
  <si>
    <t>https://datasheet.lcsc.com/lcsc/2009171305_TAI-TECH-FCM1608KF-601T03_C141723.pdf</t>
  </si>
  <si>
    <t>https://www.tai-tech.com.tw/_upload/images/1704271114530.png</t>
  </si>
  <si>
    <t>HCB1005MF-100T25</t>
  </si>
  <si>
    <t>10Ω @ 100MHz 1 2.5A 50mΩ 0402 Ferrite Beads ROHS</t>
  </si>
  <si>
    <t>HCB</t>
  </si>
  <si>
    <t>https://datasheet.lcsc.com/lcsc/2009171335_TAI-TECH-HCB1005MF-100T25_C155103.pdf</t>
  </si>
  <si>
    <t>https://www.tai-tech.com.tw/_upload/images/1704281047570.png</t>
  </si>
  <si>
    <t>Inductors</t>
  </si>
  <si>
    <t>nductors are two-terminal components used for filtering, energy storage and timing applications. Inductors oppose a change in current by inducing an electromotive force (or e.m.f) according to Lenz’s Law</t>
  </si>
  <si>
    <t>B82422H1222K000</t>
  </si>
  <si>
    <t>Fixed Inductors</t>
  </si>
  <si>
    <t>FIXED IND 2.2UH 800MA 160MOHM SM</t>
  </si>
  <si>
    <t>SIMID</t>
  </si>
  <si>
    <t>https://www.tdk-electronics.tdk.com/inf/30/db/ind_2008/b82422h.pdf</t>
  </si>
  <si>
    <t>https://media.digikey.com/Renders/Epcos%20Renders/SIMID%201210%20(3225%20Metric).jpg</t>
  </si>
  <si>
    <t>2-SMD J-Lead</t>
  </si>
  <si>
    <t>1255AY-1R0N=P3</t>
  </si>
  <si>
    <t>SMD Power Inductors ROHS</t>
  </si>
  <si>
    <t>DG6045C</t>
  </si>
  <si>
    <t>https://search.murata.co.jp/Ceramy/image/img/P02/J(E)TE243B-0037_DG6045C_reference.pdf</t>
  </si>
  <si>
    <t>https://media.digikey.com/Photos/Murata%20Photos/MFG_DG6045C,DG6050C.JPG</t>
  </si>
  <si>
    <t>Nonstandard</t>
  </si>
  <si>
    <t>TCK-059</t>
  </si>
  <si>
    <t>Traco Power</t>
  </si>
  <si>
    <t>FIXED IND 2.2UH 4.8A 25MOHM SMD</t>
  </si>
  <si>
    <t>https://www.tracopower.com/products/tck059.pdf</t>
  </si>
  <si>
    <t>https://media.digikey.com/Photos/Traco-Power-North-America/MFG_TCK-044.jpg</t>
  </si>
  <si>
    <t>LQH5BPN100M38L</t>
  </si>
  <si>
    <t>FIXED IND 10UH 2.2A 56 MOHM SMD</t>
  </si>
  <si>
    <t>LQH5</t>
  </si>
  <si>
    <t>https://search.murata.co.jp/Ceramy/image/img/P02/JELF243A-0122.pdf</t>
  </si>
  <si>
    <t>https://media.digikey.com/Photos/Murata%20Photos/LQH5BPN1R5NT0L.JPG</t>
  </si>
  <si>
    <t>LQH5BPB220MT0L</t>
  </si>
  <si>
    <t>FIXED IND 22UH 1.05A 310.8 MOHM</t>
  </si>
  <si>
    <t>https://search.murata.co.jp/Ceramy/image/img/P02/JELF243A-0108.pdf</t>
  </si>
  <si>
    <t>LQW15AN1N6C00D</t>
  </si>
  <si>
    <t>FIXED IND 1.6NH 750MA 70MOHM SMD</t>
  </si>
  <si>
    <t>LQW15</t>
  </si>
  <si>
    <t>https://search.murata.co.jp/Ceramy/image/img/P02/JELF243A-0050.pdf</t>
  </si>
  <si>
    <t>https://media.digikey.com/Renders/Murata%20Renders/LQW15A.jpg</t>
  </si>
  <si>
    <t>0402 (1005 Metric)</t>
  </si>
  <si>
    <t>GCNR5040-6R8MC</t>
  </si>
  <si>
    <t>GLE</t>
  </si>
  <si>
    <t>GCN</t>
  </si>
  <si>
    <t>https://datasheet.lcsc.com/lcsc/1912181207_GLE-GCNR5040-6R8MC_C439377.pdf</t>
  </si>
  <si>
    <t>https://assets.lcsc.com/images/lcsc/900x900/20230119_GLE-GCNR5040-6R8MC_C439377_front.jpg</t>
  </si>
  <si>
    <t>MS0530-2R2M</t>
  </si>
  <si>
    <t>COILMX</t>
  </si>
  <si>
    <t>https://datasheet.lcsc.com/lcsc/1912111437_COILMX-MS0530-2R2M_C380163.pdf</t>
  </si>
  <si>
    <t>https://assets.lcsc.com/images/lcsc/900x900/20191102_COILMX-MS0530-2R2M_C380163_front.jpg</t>
  </si>
  <si>
    <t>YNR6028-1R5N</t>
  </si>
  <si>
    <t>YJYCOIN</t>
  </si>
  <si>
    <t>YNR6028</t>
  </si>
  <si>
    <t>https://datasheet.lcsc.com/lcsc/2006231815_YJYCOIN-YNR6028-1R5N_C341052.pdf</t>
  </si>
  <si>
    <t>https://assets.lcsc.com/images/lcsc/900x900/20230110_YJYCOIN-YNR6028-1R5N_C341052_front.jpg</t>
  </si>
  <si>
    <t>SMD 6x6mm</t>
  </si>
  <si>
    <t>SNR8040K-150M</t>
  </si>
  <si>
    <t>3L COILS</t>
  </si>
  <si>
    <t xml:space="preserve">SNR8040K </t>
  </si>
  <si>
    <t>https://datasheet.lcsc.com/lcsc/1912111437_3L-COILS-SNR8040K-150M_C326353.pdf</t>
  </si>
  <si>
    <t>https://assets.lcsc.com/images/lcsc/900x900/20190117_3L-COILS-SNR8040K-150M_C326353_front.jpg</t>
  </si>
  <si>
    <t>HCM0703-3R3-R</t>
  </si>
  <si>
    <t>EATON</t>
  </si>
  <si>
    <t>HCM0703</t>
  </si>
  <si>
    <t>https://www.eaton.com/content/dam/eaton/products/electronic-components/resources/data-sheet/eaton-hcm0703-high-current-power-inductors-data-sheet.pdf</t>
  </si>
  <si>
    <t>https://media.digikey.com/photos/Coiltronics%20Photos/HCM0703-SERIES.jpg</t>
  </si>
  <si>
    <t>MMZ1005F121ET000</t>
  </si>
  <si>
    <t>120Ω @ 100MHz 1 200mA 1.5Ω 0402 Ferrite Beads ROHS</t>
  </si>
  <si>
    <t>MMZ-E</t>
  </si>
  <si>
    <t>https://product.tdk.com/en/system/files?file=dam/doc/product/emc/emc/beads/catalog/beads_commercial_signal_mmz1005-e_en.pdf</t>
  </si>
  <si>
    <t>https://media.digikey.com/Photos/TDK%20Photos/MFG_MMZ1005.jpg</t>
  </si>
  <si>
    <t>SLF10145T-100M2R5-PF</t>
  </si>
  <si>
    <t>SLF</t>
  </si>
  <si>
    <t>https://product.tdk.com/en/system/files?file=dam/doc/product/inductor/inductor/smd/catalog/inductor_commercial_power_slf10145_en.pdf</t>
  </si>
  <si>
    <t>https://media.digikey.com/photos/TDK%20Photos/SLF10145%20SERIES.jpg</t>
  </si>
  <si>
    <t>MCS0630-1R5MN2</t>
  </si>
  <si>
    <t>PSA(Prosperity Dielectrics)</t>
  </si>
  <si>
    <t>MCS0630</t>
  </si>
  <si>
    <t>http://www.pdc.com.tw/product/pdf/MCS0630%20Series.pdf</t>
  </si>
  <si>
    <t>https://assets.lcsc.com/images/lcsc/900x900/20230220_PSA-Prosperity-Dielectrics-MCS0630-1R5MN2_C400394_back.jpg</t>
  </si>
  <si>
    <t>BCIHP0735-4R7M</t>
  </si>
  <si>
    <t>BC(Bao Cheng Elec)</t>
  </si>
  <si>
    <t>BCIHP0718/24/30/35/40/50-0940</t>
  </si>
  <si>
    <t>https://datasheet.lcsc.com/lcsc/1811091231_BC-Bao-Cheng-Elec-BCIHP0735-4R7M_C237931.pdf</t>
  </si>
  <si>
    <t>https://assets.lcsc.com/images/lcsc/900x900/20181106_BC-Bao-Cheng-Elec-BCIHP0735-4R7M_C237931_front.jpg</t>
  </si>
  <si>
    <t>SM3521-4R7MT</t>
  </si>
  <si>
    <t>SXN(Shun Xiang Nuo Elec)</t>
  </si>
  <si>
    <t>SM</t>
  </si>
  <si>
    <t>https://datasheet.lcsc.com/lcsc/2108131530_SXN-Shun-Xiang-Nuo-Elec-SM3521-4R7MT_C35602.pdf</t>
  </si>
  <si>
    <t>https://assets.lcsc.com/images/lcsc/900x900/20180914_SXN-Shun-Xiang-Nuo-Elec-SM3521-4R7MT_C35602_front.jpg</t>
  </si>
  <si>
    <t>RL0810N/40-57-101M</t>
  </si>
  <si>
    <t>MINGSTAR Elec Corp</t>
  </si>
  <si>
    <t>Radio Choke Inductors</t>
  </si>
  <si>
    <t>100uH Plugin Through Hole Inductor</t>
  </si>
  <si>
    <t>RL0810N</t>
  </si>
  <si>
    <t>https://datasheet.lcsc.com/lcsc/2105281740_MINGSTAR-RL0810N-40-57-101M_C2832106.pdf</t>
  </si>
  <si>
    <t>https://assets.lcsc.com/images/lcsc/900x900/20230129_MINGSTAR-RL0810N-40-57-101M_C2832106_blank.jpg</t>
  </si>
  <si>
    <t>100 µH Unshielded Drum Core, Wirewound Inductor</t>
  </si>
  <si>
    <t>WE-TI</t>
  </si>
  <si>
    <t>https://www.we-online.com/components/products/datasheet/7447480101.pdf</t>
  </si>
  <si>
    <t>https://media.digikey.com/Photos/Wurth%20Electronics%20Photos/7447480101.JPG</t>
  </si>
  <si>
    <t>MS0420-100M</t>
  </si>
  <si>
    <t>1.6A 10uH ±20% 230mΩ SMD Power Inductors ROHS</t>
  </si>
  <si>
    <t>https://datasheet.lcsc.com/lcsc/1912111437_COILMX-MS0420-100M_C380158.pdf</t>
  </si>
  <si>
    <t>https://assets.lcsc.com/images/lcsc/900x900/20191105_COILMX-MS0420-100M_C380158_back.jpg</t>
  </si>
  <si>
    <t>VLC5020T-2R7N1R7</t>
  </si>
  <si>
    <t>FIXED IND 2.7UH 1.76A 71MOHM SMD</t>
  </si>
  <si>
    <t>VLCF</t>
  </si>
  <si>
    <t>https://product.tdk.com/en/system/files?file=dam/doc/product/inductor/inductor/smd/catalog/inductor_commercial_power_vlcf5020_en.pdf</t>
  </si>
  <si>
    <t>https://media.digikey.com/Photos/TDK%20Photos/MFG_VLCF5020.jpg</t>
  </si>
  <si>
    <t>VLS6045EX-221M-H</t>
  </si>
  <si>
    <t>800mA 220UH 20% 1.15R POWER INDUCTOR</t>
  </si>
  <si>
    <t>VLS-EX-H</t>
  </si>
  <si>
    <t>https://product.tdk.com/en/system/files?file=dam/doc/product/inductor/inductor/smd/catalog/inductor_automotive_power_vls6045ex-h_en.pdf</t>
  </si>
  <si>
    <t>https://media.digikey.com/Photos/TDK%20Photos/MFG_VLS-EX-H-Series.jpg</t>
  </si>
  <si>
    <t>IHLP2525CZER3R3M01</t>
  </si>
  <si>
    <t>6A 3.3uH ±20% 28mΩ SMD Power Inductors ROHS</t>
  </si>
  <si>
    <t>IHLP-2525CZ-01</t>
  </si>
  <si>
    <t>https://www.vishay.com/docs/34104/ihlp-2525cz-01.pdf</t>
  </si>
  <si>
    <t>https://media.digikey.com/Photos/Vishay%20Dale%20Photos/MFG_IHLP-2525CZ-01-Series.jpg</t>
  </si>
  <si>
    <t>Crystals and Oscillators</t>
  </si>
  <si>
    <t>Oscillators are electronic circuits that produce periodic, oscillating signals. Crystal oscillators (XOs) use mechanical resonance of a vibrating crystal, usually made of quartz, to create signals with very precise frequency.</t>
  </si>
  <si>
    <t>ABS07-32.768KHZ-7-T</t>
  </si>
  <si>
    <t>Abracon LLC</t>
  </si>
  <si>
    <t>Cystals</t>
  </si>
  <si>
    <t>CRYSTAL 32.7680KHZ 7PF SMD</t>
  </si>
  <si>
    <t>ABS07</t>
  </si>
  <si>
    <t>https://abracon.com/Resonators/ABS07.pdf</t>
  </si>
  <si>
    <t>https://media.digikey.com/Renders/Abracon%20Renders/ABS07%20Series.jpg</t>
  </si>
  <si>
    <t>2-SMD</t>
  </si>
  <si>
    <t>7B08070001</t>
  </si>
  <si>
    <t>TXC CORPORATION</t>
  </si>
  <si>
    <t>CRYSTAL 8.0000MHZ 18PF SMD</t>
  </si>
  <si>
    <t>7B</t>
  </si>
  <si>
    <t>http://www.txccorp.com/download/products/quartz_crystals/2015TXC_7B_19.pdf</t>
  </si>
  <si>
    <t>https://media.digikey.com/Photos/TXC%20Technology/7B5-SERIES.jpg</t>
  </si>
  <si>
    <t>4-SMD</t>
  </si>
  <si>
    <t>CM200C32768DZFT</t>
  </si>
  <si>
    <t>Citizen Finedevice Co Ltd</t>
  </si>
  <si>
    <t>CRYSTAL 32.7680KHZ 12.5PF SMD</t>
  </si>
  <si>
    <t>CM200C</t>
  </si>
  <si>
    <t>http://cfd.citizen.co.jp/cms/cfd/pdf/english/CM200C_E.pdf</t>
  </si>
  <si>
    <t>https://media.digikey.com/Photos/Citizen%20Amer%20Photos/CM200C-32.768KDZB-UT.jpg</t>
  </si>
  <si>
    <t>4-SOJ 5.50mm pitch</t>
  </si>
  <si>
    <t>49MD-8.000-20-20-20/A</t>
  </si>
  <si>
    <t>Suzhou Liming Elec</t>
  </si>
  <si>
    <t>20pF 8000000Hz ±20ppm 49SMD Crystals</t>
  </si>
  <si>
    <t>https://datasheet.lcsc.com/lcsc/1809061721_Suzhou-Liming-Elec-49MD-8-000-20-20-20-A_C240959.pdf</t>
  </si>
  <si>
    <t>https://th.bing.com/th/id/OIP.0FOaZ311i10x1XhLgiMiDgAAAA?pid=ImgDet&amp;rs=1</t>
  </si>
  <si>
    <t>HC-49S-SMD</t>
  </si>
  <si>
    <t>X1A000061000200</t>
  </si>
  <si>
    <t>Seiko Epson</t>
  </si>
  <si>
    <t>32.768kHz SMD Crystal Resonator 12.5pF 90kΩ ±20ppm -40℃~+85℃ SMD2012-2P Crystals ROHS</t>
  </si>
  <si>
    <t>https://support.epson.biz/td/api/doc_check.php?dl=brief_FC-12D&amp;lang=en</t>
  </si>
  <si>
    <t>https://image.seapx.com/mall/yangxin/1/20221018/FC-12M-273507.jpg</t>
  </si>
  <si>
    <t>SMD2012-2P</t>
  </si>
  <si>
    <t>XXDCCLNANF-8.000000MHZ</t>
  </si>
  <si>
    <t>TAITIEN Elec</t>
  </si>
  <si>
    <t>SMD3225-4P Crystals ROHS</t>
  </si>
  <si>
    <t>XX</t>
  </si>
  <si>
    <t>https://www.taitien.com/wp-content/uploads/2015/12/AT-0002_XX.pdf</t>
  </si>
  <si>
    <t>https://assets.lcsc.com/images/lcsc/900x900/20230204_TAITIEN-Elec-XXDCCLNANF-8-000000MHZ_C521664_blank.jpg</t>
  </si>
  <si>
    <t>SMD3225-4P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</si>
</sst>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color theme="1"/>
      <name val="Calibri"/>
      <family val="2"/>
      <scheme val="minor"/>
    </font>
    <font>
      <sz val="10"/>
      <color theme="1"/>
      <name val="Calibri"/>
      <family val="2"/>
      <scheme val="minor"/>
    </font>
    <font>
      <u/>
      <sz val="11"/>
      <color theme="10"/>
      <name val="Calibri"/>
      <family val="2"/>
      <scheme val="minor"/>
    </font>
    <font>
      <sz val="10"/>
      <color rgb="FF000000"/>
      <name val="Calibri"/>
      <family val="2"/>
      <scheme val="minor"/>
    </font>
    <font>
      <u/>
      <sz val="11"/>
      <color rgb="FF0563C1"/>
      <name val="Calibri"/>
      <family val="2"/>
      <scheme val="minor"/>
    </font>
    <font>
      <sz val="11"/>
      <color rgb="FF000000"/>
      <name val="Calibri"/>
      <family val="2"/>
      <scheme val="minor"/>
    </font>
    <font>
      <b/>
      <sz val="10"/>
      <color rgb="FF000000"/>
      <name val="Calibri"/>
      <family val="2"/>
      <scheme val="minor"/>
    </font>
  </fonts>
  <fills count="2">
    <fill>
      <patternFill patternType="none"/>
    </fill>
    <fill>
      <patternFill patternType="gray125"/>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2" fillId="0" borderId="0" applyNumberFormat="0" applyFill="0" applyBorder="0" applyAlignment="0" applyProtection="0"/>
  </cellStyleXfs>
  <cellXfs count="18">
    <xf numFmtId="0" fontId="0" fillId="0" borderId="0" xfId="0"/>
    <xf numFmtId="0" fontId="2" fillId="0" borderId="0" xfId="1" applyBorder="1"/>
    <xf numFmtId="0" fontId="2" fillId="0" borderId="0" xfId="1" applyBorder="1" applyAlignment="1">
      <alignment horizontal="center" vertical="center"/>
    </xf>
    <xf numFmtId="0" fontId="3" fillId="0" borderId="0" xfId="0" applyFont="1" applyAlignment="1">
      <alignment horizontal="center" vertical="center"/>
    </xf>
    <xf numFmtId="0" fontId="3" fillId="0" borderId="0" xfId="0" applyFont="1" applyAlignment="1">
      <alignment horizontal="center" vertical="center" wrapText="1"/>
    </xf>
    <xf numFmtId="0" fontId="0" fillId="0" borderId="0" xfId="0" applyAlignment="1">
      <alignment horizontal="center" vertical="center"/>
    </xf>
    <xf numFmtId="0" fontId="1" fillId="0" borderId="0" xfId="0" applyFont="1" applyAlignment="1">
      <alignment horizontal="center" vertical="center"/>
    </xf>
    <xf numFmtId="0" fontId="2" fillId="0" borderId="0" xfId="1" applyBorder="1" applyAlignment="1">
      <alignment horizontal="left" vertical="center"/>
    </xf>
    <xf numFmtId="0" fontId="5" fillId="0" borderId="0" xfId="0" applyFont="1" applyAlignment="1">
      <alignment horizontal="center" vertical="center"/>
    </xf>
    <xf numFmtId="0" fontId="1" fillId="0" borderId="0" xfId="0" applyFont="1"/>
    <xf numFmtId="2" fontId="1" fillId="0" borderId="0" xfId="0" applyNumberFormat="1" applyFont="1" applyAlignment="1">
      <alignment horizontal="center" vertical="center"/>
    </xf>
    <xf numFmtId="0" fontId="0" fillId="0" borderId="0" xfId="0" applyAlignment="1">
      <alignment horizontal="left"/>
    </xf>
    <xf numFmtId="0" fontId="2" fillId="0" borderId="0" xfId="1" applyBorder="1" applyAlignment="1">
      <alignment horizontal="left"/>
    </xf>
    <xf numFmtId="0" fontId="4" fillId="0" borderId="0" xfId="0" applyFont="1" applyAlignment="1">
      <alignment horizontal="left" vertical="center"/>
    </xf>
    <xf numFmtId="0" fontId="2" fillId="0" borderId="1" xfId="1" applyBorder="1" applyAlignment="1">
      <alignment horizontal="center" vertical="center"/>
    </xf>
    <xf numFmtId="0" fontId="2" fillId="0" borderId="0" xfId="1" applyFill="1" applyBorder="1" applyAlignment="1">
      <alignment horizontal="center" vertical="center"/>
    </xf>
    <xf numFmtId="0" fontId="6" fillId="0" borderId="0" xfId="0" applyFont="1" applyAlignment="1">
      <alignment horizontal="center" vertical="center"/>
    </xf>
    <xf numFmtId="0" fontId="3" fillId="0" borderId="0" xfId="0" applyFont="1" applyAlignment="1">
      <alignment horizontal="left" vertical="center" wrapText="1"/>
    </xf>
  </cellXfs>
  <cellStyles count="2">
    <cellStyle name="Hyperlink" xfId="1" builtinId="8"/>
    <cellStyle name="Normal" xfId="0" builtinId="0"/>
  </cellStyles>
  <dxfs count="3">
    <dxf>
      <font>
        <color rgb="FF9C0006"/>
      </font>
      <fill>
        <patternFill>
          <bgColor rgb="FFFFC7CE"/>
        </patternFill>
      </fill>
    </dxf>
    <dxf>
      <font>
        <color rgb="FF9C0006"/>
      </font>
      <fill>
        <patternFill>
          <bgColor rgb="FFFFC7CE"/>
        </patternFill>
      </fill>
    </dxf>
    <dxf>
      <font>
        <color rgb="FF9C6500"/>
      </font>
      <fill>
        <patternFill>
          <bgColor rgb="FFFFEB9C"/>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17" Type="http://schemas.openxmlformats.org/officeDocument/2006/relationships/hyperlink" Target="https://assets.nexperia.com/documents/data-sheet/PMEG3010ER.pdf" TargetMode="External"/><Relationship Id="rId21" Type="http://schemas.openxmlformats.org/officeDocument/2006/relationships/hyperlink" Target="https://datasheet.lcsc.com/lcsc/1811151654_E-Switch-TL3300CF160Q_C273516.pdf" TargetMode="External"/><Relationship Id="rId324" Type="http://schemas.openxmlformats.org/officeDocument/2006/relationships/hyperlink" Target="https://sensorkit.joy-it.net/files/files/sensors/KY-022/KY-022.png" TargetMode="External"/><Relationship Id="rId531" Type="http://schemas.openxmlformats.org/officeDocument/2006/relationships/hyperlink" Target="https://www.murata.com/en-us/products/productdata/8796738650142/ENFA0003.pdf" TargetMode="External"/><Relationship Id="rId170" Type="http://schemas.openxmlformats.org/officeDocument/2006/relationships/hyperlink" Target="https://assets.lcsc.com/images/lcsc/900x900/20230128_MSKSEMI-BZT52C3V3S_C2902888_back.jpg" TargetMode="External"/><Relationship Id="rId268" Type="http://schemas.openxmlformats.org/officeDocument/2006/relationships/hyperlink" Target="https://media.digikey.com/Renders/~~Pkg.Case%20or%20Series/28-PDip.jpg" TargetMode="External"/><Relationship Id="rId475" Type="http://schemas.openxmlformats.org/officeDocument/2006/relationships/hyperlink" Target="https://www.silabs.com/documents/public/data-sheets/efr32bg13-datasheet.pdf" TargetMode="External"/><Relationship Id="rId32" Type="http://schemas.openxmlformats.org/officeDocument/2006/relationships/hyperlink" Target="https://www.te.com/commerce/DocumentDelivery/DDEController?Action=srchrtrv&amp;DocNm=2305018&amp;DocType=Customer+Drawing&amp;DocLang=English&amp;DocFormat=pdf&amp;PartCntxt=2305018-2" TargetMode="External"/><Relationship Id="rId128" Type="http://schemas.openxmlformats.org/officeDocument/2006/relationships/hyperlink" Target="https://datasheet.lcsc.com/lcsc/2008201033_Foshan-NationStar-Optoelectronics-NCD0402B1_C130724.pdf" TargetMode="External"/><Relationship Id="rId335" Type="http://schemas.openxmlformats.org/officeDocument/2006/relationships/hyperlink" Target="https://sensorkit.joy-it.net/files/files/sensors/KY-020/KY-020.png" TargetMode="External"/><Relationship Id="rId542" Type="http://schemas.openxmlformats.org/officeDocument/2006/relationships/hyperlink" Target="https://datasheet.lcsc.com/lcsc/1912111437_COILMX-MS0530-2R2M_C380163.pdf" TargetMode="External"/><Relationship Id="rId181" Type="http://schemas.openxmlformats.org/officeDocument/2006/relationships/hyperlink" Target="https://octopart.com/electronic-parts/integrated-circuits-ics/power-management-ics" TargetMode="External"/><Relationship Id="rId402" Type="http://schemas.openxmlformats.org/officeDocument/2006/relationships/hyperlink" Target="https://media.digikey.com/Photos/Rochester/MFG_AD7243BR-REEL.jpg" TargetMode="External"/><Relationship Id="rId279" Type="http://schemas.openxmlformats.org/officeDocument/2006/relationships/hyperlink" Target="https://media.digikey.com/photos/Maxim%20Photos/175-14-DIP.jpg" TargetMode="External"/><Relationship Id="rId486" Type="http://schemas.openxmlformats.org/officeDocument/2006/relationships/hyperlink" Target="https://datasheet4u.com/datasheet-pdf/ElecFreaks/XKT-510/pdf.php?id=916346" TargetMode="External"/><Relationship Id="rId43" Type="http://schemas.openxmlformats.org/officeDocument/2006/relationships/hyperlink" Target="https://www.literature.molex.com/SQLImages/kelmscott/Molex/PDF_Images/987651-3481.pdf" TargetMode="External"/><Relationship Id="rId139" Type="http://schemas.openxmlformats.org/officeDocument/2006/relationships/hyperlink" Target="https://assets.lcsc.com/images/lcsc/900x900/20230109_TOGIALED-TJ-S1005SW4TGLC7K-A5_C273601_front.jpg" TargetMode="External"/><Relationship Id="rId346" Type="http://schemas.openxmlformats.org/officeDocument/2006/relationships/hyperlink" Target="https://sensorkit.joy-it.net/files/files/sensors/KY-024/KY-024.png" TargetMode="External"/><Relationship Id="rId553" Type="http://schemas.openxmlformats.org/officeDocument/2006/relationships/hyperlink" Target="https://datasheet.lcsc.com/lcsc/1912111437_COILMX-MS0420-100M_C380158.pdf" TargetMode="External"/><Relationship Id="rId192" Type="http://schemas.openxmlformats.org/officeDocument/2006/relationships/hyperlink" Target="https://www.ti.com/lit/ds/sdls151/sdls151.pdf" TargetMode="External"/><Relationship Id="rId206" Type="http://schemas.openxmlformats.org/officeDocument/2006/relationships/hyperlink" Target="https://eu.mouser.com/datasheet/2/365/PC817XxNSZ1B_07Oct16_Spec_ED-16P010-1360269.pdf" TargetMode="External"/><Relationship Id="rId413" Type="http://schemas.openxmlformats.org/officeDocument/2006/relationships/hyperlink" Target="https://ww1.microchip.com/downloads/en/DeviceDoc/MCP73831-Family-Data-Sheet-DS20001984H.pdf" TargetMode="External"/><Relationship Id="rId497" Type="http://schemas.openxmlformats.org/officeDocument/2006/relationships/hyperlink" Target="https://media.digikey.com/pdf/Data%20Sheets/Trinamic%20Motion%20Control%20PDFs/TMC2209_Rev.1.08.pdf" TargetMode="External"/><Relationship Id="rId357" Type="http://schemas.openxmlformats.org/officeDocument/2006/relationships/hyperlink" Target="https://sensorkit.joy-it.net/files/files/sensors/KY-015/KY-015.png" TargetMode="External"/><Relationship Id="rId54" Type="http://schemas.openxmlformats.org/officeDocument/2006/relationships/hyperlink" Target="https://datasheet.lcsc.com/lcsc/1912251636_Ningbo-Kangnex-Elec-WJ301V-5-0-3P_C8483.pdf" TargetMode="External"/><Relationship Id="rId217" Type="http://schemas.openxmlformats.org/officeDocument/2006/relationships/hyperlink" Target="https://www.ti.com/lit/ds/symlink/max232.pdf" TargetMode="External"/><Relationship Id="rId564" Type="http://schemas.openxmlformats.org/officeDocument/2006/relationships/hyperlink" Target="https://media.digikey.com/Photos/Murata%20Photos/LQH5BPN1R5NT0L.JPG" TargetMode="External"/><Relationship Id="rId424" Type="http://schemas.openxmlformats.org/officeDocument/2006/relationships/hyperlink" Target="http://www.advanced-monolithic.com/pdf/ds1117.pdf" TargetMode="External"/><Relationship Id="rId270" Type="http://schemas.openxmlformats.org/officeDocument/2006/relationships/hyperlink" Target="https://media.digikey.com/Renders/~~Pkg.Case%20or%20Series/14PDIP.jpg" TargetMode="External"/><Relationship Id="rId65" Type="http://schemas.openxmlformats.org/officeDocument/2006/relationships/hyperlink" Target="https://media.digikey.com/photos/Hirose%20Elect%20Photos/U.FL-R-SMT(01).jpg" TargetMode="External"/><Relationship Id="rId130" Type="http://schemas.openxmlformats.org/officeDocument/2006/relationships/hyperlink" Target="https://www.vishay.com/docs/93289/vs-12cwq06f.pdf" TargetMode="External"/><Relationship Id="rId368" Type="http://schemas.openxmlformats.org/officeDocument/2006/relationships/hyperlink" Target="https://www.diodes.com/assets/Datasheets/DMP2045U.pdf" TargetMode="External"/><Relationship Id="rId575" Type="http://schemas.openxmlformats.org/officeDocument/2006/relationships/hyperlink" Target="https://assets.lcsc.com/images/lcsc/900x900/20181106_BC-Bao-Cheng-Elec-BCIHP0735-4R7M_C237931_front.jpg" TargetMode="External"/><Relationship Id="rId228" Type="http://schemas.openxmlformats.org/officeDocument/2006/relationships/hyperlink" Target="https://ww1.microchip.com/downloads/en/DeviceDoc/doc0265.pdf" TargetMode="External"/><Relationship Id="rId435" Type="http://schemas.openxmlformats.org/officeDocument/2006/relationships/hyperlink" Target="https://www.littelfuse.com/media?resourcetype=datasheets&amp;itemid=bc095d18-cf49-4d06-b415-3b20ec906b2e&amp;filename=littelfuse-tvs-diode-array-sp3014-datasheet.pdf" TargetMode="External"/><Relationship Id="rId281" Type="http://schemas.openxmlformats.org/officeDocument/2006/relationships/hyperlink" Target="https://media.digikey.com/Renders/~~Pkg.Case%20or%20Series/DIP16_SOT38-1%20Pkg.jpg" TargetMode="External"/><Relationship Id="rId502" Type="http://schemas.openxmlformats.org/officeDocument/2006/relationships/hyperlink" Target="https://www.diodes.com/assets/Datasheets/AP6714.pdf" TargetMode="External"/><Relationship Id="rId76" Type="http://schemas.openxmlformats.org/officeDocument/2006/relationships/hyperlink" Target="https://media.digikey.com/photos/JST%20Photos/PHR-13.jpg" TargetMode="External"/><Relationship Id="rId141" Type="http://schemas.openxmlformats.org/officeDocument/2006/relationships/hyperlink" Target="https://assets.lcsc.com/images/lcsc/900x900/20230109_TOGIALED-TJ-S1005SW4TGLC6B-A5_C273603_front.jpg" TargetMode="External"/><Relationship Id="rId379" Type="http://schemas.openxmlformats.org/officeDocument/2006/relationships/hyperlink" Target="https://media.digikey.com/Renders/Nexperia/1727~SOT23~~3.JPG" TargetMode="External"/><Relationship Id="rId586" Type="http://schemas.openxmlformats.org/officeDocument/2006/relationships/hyperlink" Target="https://datasheet.lcsc.com/lcsc/1809061721_Suzhou-Liming-Elec-49MD-8-000-20-20-20-A_C240959.pdf" TargetMode="External"/><Relationship Id="rId7" Type="http://schemas.openxmlformats.org/officeDocument/2006/relationships/hyperlink" Target="https://eu.mouser.com/images/ctselectroniccomponents/images/218-10LPSTJ_SPL.jpg" TargetMode="External"/><Relationship Id="rId239" Type="http://schemas.openxmlformats.org/officeDocument/2006/relationships/hyperlink" Target="https://media.digikey.com/Renders/~~Pkg.Case%20or%20Series/14PDIP.jpg" TargetMode="External"/><Relationship Id="rId446" Type="http://schemas.openxmlformats.org/officeDocument/2006/relationships/hyperlink" Target="https://media.digikey.com/Renders/On%20Semi%20Renders/488~846A-02~DM,-CUA,-DMR2,-RM~8.jpg" TargetMode="External"/><Relationship Id="rId292" Type="http://schemas.openxmlformats.org/officeDocument/2006/relationships/hyperlink" Target="https://sensorkit.joy-it.net/en/sensors/ky-038" TargetMode="External"/><Relationship Id="rId306" Type="http://schemas.openxmlformats.org/officeDocument/2006/relationships/hyperlink" Target="https://sensorkit.joy-it.net/en/sensors/ky-002" TargetMode="External"/><Relationship Id="rId87" Type="http://schemas.openxmlformats.org/officeDocument/2006/relationships/hyperlink" Target="https://media.digikey.com/photos/Hirose%20Elect%20Photos/DF13-2P-1.25H(20).jpg" TargetMode="External"/><Relationship Id="rId513" Type="http://schemas.openxmlformats.org/officeDocument/2006/relationships/hyperlink" Target="https://media.digikey.com/Renders/Diodes%20Renders/8-SOIC.jpg" TargetMode="External"/><Relationship Id="rId152" Type="http://schemas.openxmlformats.org/officeDocument/2006/relationships/hyperlink" Target="https://media.digikey.com/Renders/Diodes%20Renders/POWERDI%20123.jpg" TargetMode="External"/><Relationship Id="rId194" Type="http://schemas.openxmlformats.org/officeDocument/2006/relationships/hyperlink" Target="https://www.ti.com/lit/ds/symlink/uln2003a.pdf" TargetMode="External"/><Relationship Id="rId208" Type="http://schemas.openxmlformats.org/officeDocument/2006/relationships/hyperlink" Target="https://rocelec.widen.net/view/pdf/lj7lzhtnml/RNSAS04101-1.pdf?t.download=true&amp;u=5oefqw" TargetMode="External"/><Relationship Id="rId415" Type="http://schemas.openxmlformats.org/officeDocument/2006/relationships/hyperlink" Target="https://www.ti.com/lit/ds/symlink/txb0106.pdf" TargetMode="External"/><Relationship Id="rId457" Type="http://schemas.openxmlformats.org/officeDocument/2006/relationships/hyperlink" Target="https://media.digikey.com/Renders/Texas%20Instr%20Renders/296~4073329~DGK~8.JPG" TargetMode="External"/><Relationship Id="rId261" Type="http://schemas.openxmlformats.org/officeDocument/2006/relationships/hyperlink" Target="https://eu.mouser.com/images/texasinstruments/sm/TI_PDIP_8.jpg" TargetMode="External"/><Relationship Id="rId499" Type="http://schemas.openxmlformats.org/officeDocument/2006/relationships/hyperlink" Target="https://www.analog.com/media/en/technical-documentation/data-sheets/3652fe.pdf" TargetMode="External"/><Relationship Id="rId14" Type="http://schemas.openxmlformats.org/officeDocument/2006/relationships/hyperlink" Target="https://eu.mouser.com/datasheet/2/240/os-3050682.pdf" TargetMode="External"/><Relationship Id="rId56" Type="http://schemas.openxmlformats.org/officeDocument/2006/relationships/hyperlink" Target="https://www.te.com/commerce/DocumentDelivery/DDEController?Action=srchrtrv&amp;DocNm=292303&amp;DocType=Customer+Drawing&amp;DocLang=English" TargetMode="External"/><Relationship Id="rId317" Type="http://schemas.openxmlformats.org/officeDocument/2006/relationships/hyperlink" Target="https://sensorkit.joy-it.net/en/sensors/ky-003" TargetMode="External"/><Relationship Id="rId359" Type="http://schemas.openxmlformats.org/officeDocument/2006/relationships/hyperlink" Target="https://media.digikey.com/Photos/Sparkfun%20Elec%20%20Photos/MFG_SEN-13879.jpg" TargetMode="External"/><Relationship Id="rId524" Type="http://schemas.openxmlformats.org/officeDocument/2006/relationships/hyperlink" Target="https://ae01.alicdn.com/kf/HTB1.7FlgIbI8KJjy1zdq6ze1VXaG/500PCS-LOT-AMS1117-3-3-AMS1117-AMS1117-3-3V-1117-3-3V-SOT-223-1A-Best.jpg_.webp" TargetMode="External"/><Relationship Id="rId566" Type="http://schemas.openxmlformats.org/officeDocument/2006/relationships/hyperlink" Target="https://media.digikey.com/Renders/Murata%20Renders/LQW15A.jpg" TargetMode="External"/><Relationship Id="rId98" Type="http://schemas.openxmlformats.org/officeDocument/2006/relationships/hyperlink" Target="https://datasheet.lcsc.com/lcsc/1811141751_Everlight-Elec-19-21-BHC-AN1P2-3T_C282129.pdf" TargetMode="External"/><Relationship Id="rId121" Type="http://schemas.openxmlformats.org/officeDocument/2006/relationships/hyperlink" Target="https://www.onsemi.com/pdf/datasheet/mmsz5221bt1-d.pdf" TargetMode="External"/><Relationship Id="rId163" Type="http://schemas.openxmlformats.org/officeDocument/2006/relationships/hyperlink" Target="https://assets.lcsc.com/images/lcsc/900x900/20181106_onsemi-MBR120ESFT1G_C236132_front.jpg" TargetMode="External"/><Relationship Id="rId219" Type="http://schemas.openxmlformats.org/officeDocument/2006/relationships/hyperlink" Target="https://www.st.com/resource/en/datasheet/l297.pdf" TargetMode="External"/><Relationship Id="rId370" Type="http://schemas.openxmlformats.org/officeDocument/2006/relationships/hyperlink" Target="https://www.onsemi.com/pdf/datasheet/mmbt918lt1-d.pdf" TargetMode="External"/><Relationship Id="rId426" Type="http://schemas.openxmlformats.org/officeDocument/2006/relationships/hyperlink" Target="https://media.digikey.com/Renders/NXP%20Semi%20Renders/568;SOT96-1;%20D,S,T,TN2;8.jpg" TargetMode="External"/><Relationship Id="rId230" Type="http://schemas.openxmlformats.org/officeDocument/2006/relationships/hyperlink" Target="https://www.st.com/resource/en/datasheet/ua741.pdf" TargetMode="External"/><Relationship Id="rId468" Type="http://schemas.openxmlformats.org/officeDocument/2006/relationships/hyperlink" Target="https://www.espressif.com/sites/default/files/documentation/esp32-wroom-32d_esp32-wroom-32u_datasheet_en.pdf" TargetMode="External"/><Relationship Id="rId25" Type="http://schemas.openxmlformats.org/officeDocument/2006/relationships/hyperlink" Target="https://docs.arduino.cc/static/72be0dec11bfaddb42da1c09e0d02ac5/A000067-datasheet.pdf" TargetMode="External"/><Relationship Id="rId67" Type="http://schemas.openxmlformats.org/officeDocument/2006/relationships/hyperlink" Target="https://media.digikey.com/Photos/FCI%20Photos/10118194-0001LF.JPG" TargetMode="External"/><Relationship Id="rId272" Type="http://schemas.openxmlformats.org/officeDocument/2006/relationships/hyperlink" Target="https://media.digikey.com/Renders/~~Pkg.Case%20or%20Series/14PDIP.jpg" TargetMode="External"/><Relationship Id="rId328" Type="http://schemas.openxmlformats.org/officeDocument/2006/relationships/hyperlink" Target="https://sensorkit.joy-it.net/files/files/sensors/KY-028/KY-028.png" TargetMode="External"/><Relationship Id="rId535" Type="http://schemas.openxmlformats.org/officeDocument/2006/relationships/hyperlink" Target="https://www.tdk-electronics.tdk.com/inf/30/db/ind_2008/b82422h.pdf" TargetMode="External"/><Relationship Id="rId577" Type="http://schemas.openxmlformats.org/officeDocument/2006/relationships/hyperlink" Target="https://assets.lcsc.com/images/lcsc/900x900/20230129_MINGSTAR-RL0810N-40-57-101M_C2832106_blank.jpg" TargetMode="External"/><Relationship Id="rId132" Type="http://schemas.openxmlformats.org/officeDocument/2006/relationships/hyperlink" Target="https://eu.mouser.com/datasheet/2/216/APHHS1005QBC_D-54846.pdf" TargetMode="External"/><Relationship Id="rId174" Type="http://schemas.openxmlformats.org/officeDocument/2006/relationships/hyperlink" Target="https://octopart.com/electronic-parts/integrated-circuits-ics" TargetMode="External"/><Relationship Id="rId381" Type="http://schemas.openxmlformats.org/officeDocument/2006/relationships/hyperlink" Target="https://media.digikey.com/Renders/Diodes%20Renders/31~SOT23-3~F,N,SA~3.JPG" TargetMode="External"/><Relationship Id="rId241" Type="http://schemas.openxmlformats.org/officeDocument/2006/relationships/hyperlink" Target="https://media.digikey.com/Renders/~~Pkg.Case%20or%20Series/DIP16_SOT38-1%20Pkg.jpg" TargetMode="External"/><Relationship Id="rId437" Type="http://schemas.openxmlformats.org/officeDocument/2006/relationships/hyperlink" Target="https://www.ti.com/lit/ds/symlink/tl331-q1.pdf" TargetMode="External"/><Relationship Id="rId479" Type="http://schemas.openxmlformats.org/officeDocument/2006/relationships/hyperlink" Target="https://www.st.com/content/ccc/resource/technical/document/datasheet/e3/0d/7c/fc/df/6b/4e/9f/DM00056321.pdf/files/DM00056321.pdf/jcr:content/translations/en.DM00056321.pdf" TargetMode="External"/><Relationship Id="rId36" Type="http://schemas.openxmlformats.org/officeDocument/2006/relationships/hyperlink" Target="https://datasheet.lcsc.com/lcsc/2003141409_XFCN-PZ254V-11-05P_C492404.pdf" TargetMode="External"/><Relationship Id="rId283" Type="http://schemas.openxmlformats.org/officeDocument/2006/relationships/hyperlink" Target="https://media.digikey.com/Photos/NTE-Electronics/MFG_2N3904.jpg" TargetMode="External"/><Relationship Id="rId339" Type="http://schemas.openxmlformats.org/officeDocument/2006/relationships/hyperlink" Target="https://sensorkit.joy-it.net/files/files/sensors/KY-006/KY-006.png" TargetMode="External"/><Relationship Id="rId490" Type="http://schemas.openxmlformats.org/officeDocument/2006/relationships/hyperlink" Target="https://media.digikey.com/Renders/Texas%20Instr%20Renders/296;-4222143;-RNR;-11.jpg" TargetMode="External"/><Relationship Id="rId504" Type="http://schemas.openxmlformats.org/officeDocument/2006/relationships/hyperlink" Target="https://datasheet.lcsc.com/lcsc/2207151900_Espressif-Systems-ESP32-WROOM-32E-N4_C701341.pdf" TargetMode="External"/><Relationship Id="rId546" Type="http://schemas.openxmlformats.org/officeDocument/2006/relationships/hyperlink" Target="https://product.tdk.com/en/system/files?file=dam/doc/product/emc/emc/beads/catalog/beads_commercial_signal_mmz1005-e_en.pdf" TargetMode="External"/><Relationship Id="rId78" Type="http://schemas.openxmlformats.org/officeDocument/2006/relationships/hyperlink" Target="https://media.digikey.com/Photos/FCI%20Photos/20021111-00010T4LF.JPG" TargetMode="External"/><Relationship Id="rId101" Type="http://schemas.openxmlformats.org/officeDocument/2006/relationships/hyperlink" Target="https://datasheet.lcsc.com/lcsc/1808291043_Brightek-Optoelectronics-2SA0402S11A0JT01_C233194.pdf" TargetMode="External"/><Relationship Id="rId143" Type="http://schemas.openxmlformats.org/officeDocument/2006/relationships/hyperlink" Target="https://media.digikey.com/Photos/Bivar%20Inc%20Photos/MFG_SM4014.jpg" TargetMode="External"/><Relationship Id="rId185" Type="http://schemas.openxmlformats.org/officeDocument/2006/relationships/hyperlink" Target="https://www.ti.com/lit/ds/symlink/sn74hc164.pdf" TargetMode="External"/><Relationship Id="rId350" Type="http://schemas.openxmlformats.org/officeDocument/2006/relationships/hyperlink" Target="https://sensorkit.joy-it.net/files/files/sensors/KY-004/KY-004.png" TargetMode="External"/><Relationship Id="rId406" Type="http://schemas.openxmlformats.org/officeDocument/2006/relationships/hyperlink" Target="https://media.digikey.com/Photos/Espressif%20Systems/MFG_ESP-WROOM-02D.jpg" TargetMode="External"/><Relationship Id="rId588" Type="http://schemas.openxmlformats.org/officeDocument/2006/relationships/hyperlink" Target="https://www.taitien.com/wp-content/uploads/2015/12/AT-0002_XX.pdf" TargetMode="External"/><Relationship Id="rId9" Type="http://schemas.openxmlformats.org/officeDocument/2006/relationships/hyperlink" Target="https://assets.lcsc.com/images/lcsc/900x900/20181115_E-Switch-TL3300CF160Q_C273516_front.jpg" TargetMode="External"/><Relationship Id="rId210" Type="http://schemas.openxmlformats.org/officeDocument/2006/relationships/hyperlink" Target="https://www.renesas.com/us/en/document/dst/hd74ls08-datasheet?r=526061" TargetMode="External"/><Relationship Id="rId392" Type="http://schemas.openxmlformats.org/officeDocument/2006/relationships/hyperlink" Target="https://assets.lcsc.com/images/lcsc/900x900/20221231_BOOMELE-Boom-Precision-Elec-NANO-SIM-6PIN_C77877_front.jpg" TargetMode="External"/><Relationship Id="rId448" Type="http://schemas.openxmlformats.org/officeDocument/2006/relationships/hyperlink" Target="https://media.digikey.com/Renders/Micron%20Renders/557;8WPDFN-.8-6x8;W9;8.jpg" TargetMode="External"/><Relationship Id="rId252" Type="http://schemas.openxmlformats.org/officeDocument/2006/relationships/hyperlink" Target="https://media.digikey.com/Renders/Microchip%20Tech%20Renders/150~C04-016~P,%20PL~40.JPG" TargetMode="External"/><Relationship Id="rId294" Type="http://schemas.openxmlformats.org/officeDocument/2006/relationships/hyperlink" Target="https://arduinomodules.info/ky-008-laser-transmitter-module/" TargetMode="External"/><Relationship Id="rId308" Type="http://schemas.openxmlformats.org/officeDocument/2006/relationships/hyperlink" Target="https://sensorkit.joy-it.net/en/sensors/ky-033" TargetMode="External"/><Relationship Id="rId515" Type="http://schemas.openxmlformats.org/officeDocument/2006/relationships/hyperlink" Target="https://media.digikey.com/Renders/Micrel%20Renders/4-MLF.jpg" TargetMode="External"/><Relationship Id="rId47" Type="http://schemas.openxmlformats.org/officeDocument/2006/relationships/hyperlink" Target="http://www.cnctech.us/pdfs/3221-XX-0300-00_.pdf" TargetMode="External"/><Relationship Id="rId89" Type="http://schemas.openxmlformats.org/officeDocument/2006/relationships/hyperlink" Target="https://datasheet.lcsc.com/lcsc/1810121710_SOFNG-TF-002T-15_C125616.pdf" TargetMode="External"/><Relationship Id="rId112" Type="http://schemas.openxmlformats.org/officeDocument/2006/relationships/hyperlink" Target="https://www.onsemi.com/pdf/datasheet/ss19-d.pdf" TargetMode="External"/><Relationship Id="rId154" Type="http://schemas.openxmlformats.org/officeDocument/2006/relationships/hyperlink" Target="https://assets.nexperia.com/documents/outline-3d/sot23_3d.png" TargetMode="External"/><Relationship Id="rId361" Type="http://schemas.openxmlformats.org/officeDocument/2006/relationships/hyperlink" Target="https://datasheet.lcsc.com/lcsc/1912111437_MINTRON-MTP125-1105S1_C358687.pdf" TargetMode="External"/><Relationship Id="rId557" Type="http://schemas.openxmlformats.org/officeDocument/2006/relationships/hyperlink" Target="https://media.digikey.com/Renders/Murata%20Renders/0603(LQG18).jpg" TargetMode="External"/><Relationship Id="rId196" Type="http://schemas.openxmlformats.org/officeDocument/2006/relationships/hyperlink" Target="https://media.digikey.com/pdf/Data%20Sheets/ON%20Semiconductor%20PDFs/MC14067B%20Rev5.pdf" TargetMode="External"/><Relationship Id="rId417" Type="http://schemas.openxmlformats.org/officeDocument/2006/relationships/hyperlink" Target="https://img.alicdn.com/imgextra/i3/242113680/TB23whHbl8lpuFjy0FnXXcZyXXa_!!242113680.jpg" TargetMode="External"/><Relationship Id="rId459" Type="http://schemas.openxmlformats.org/officeDocument/2006/relationships/hyperlink" Target="https://media.digikey.com/Renders/Skyworks%20Solutions%20Renders/336~24QFN-,90-4x4~M~24.jpg" TargetMode="External"/><Relationship Id="rId16" Type="http://schemas.openxmlformats.org/officeDocument/2006/relationships/hyperlink" Target="https://www.digikey.com/en/htmldatasheets/production/102795/0/0/1/ese-18-series-datasheet.html" TargetMode="External"/><Relationship Id="rId221" Type="http://schemas.openxmlformats.org/officeDocument/2006/relationships/hyperlink" Target="https://www.ti.com/lit/ds/symlink/tl071.pdf" TargetMode="External"/><Relationship Id="rId263" Type="http://schemas.openxmlformats.org/officeDocument/2006/relationships/hyperlink" Target="https://media.digikey.com/Photos/Intersil%20Photos/MFG_8-PDIP,%20E8_3%20PKG.jpg" TargetMode="External"/><Relationship Id="rId319" Type="http://schemas.openxmlformats.org/officeDocument/2006/relationships/hyperlink" Target="https://sensorkit.joy-it.net/en/sensors/ky-037" TargetMode="External"/><Relationship Id="rId470" Type="http://schemas.openxmlformats.org/officeDocument/2006/relationships/hyperlink" Target="https://www.espressif.com/sites/default/files/documentation/esp32-wroom-32_datasheet_en.pdf" TargetMode="External"/><Relationship Id="rId526" Type="http://schemas.openxmlformats.org/officeDocument/2006/relationships/hyperlink" Target="https://media.digikey.com/Photos/Espressif%20Systems/ESP32-WROOM-32.JPG" TargetMode="External"/><Relationship Id="rId58" Type="http://schemas.openxmlformats.org/officeDocument/2006/relationships/hyperlink" Target="https://www.te.com/commerce/DocumentDelivery/DDEController?Action=srchrtrv&amp;DocNm=640456&amp;DocType=Customer+Drawing&amp;DocLang=English" TargetMode="External"/><Relationship Id="rId123" Type="http://schemas.openxmlformats.org/officeDocument/2006/relationships/hyperlink" Target="https://www.vishay.com/docs/85153/bzd27series.pdf" TargetMode="External"/><Relationship Id="rId330" Type="http://schemas.openxmlformats.org/officeDocument/2006/relationships/hyperlink" Target="https://sensorkit.joy-it.net/files/files/sensors/KY-035/KY-035.png" TargetMode="External"/><Relationship Id="rId568" Type="http://schemas.openxmlformats.org/officeDocument/2006/relationships/hyperlink" Target="https://assets.lcsc.com/images/lcsc/900x900/20191102_COILMX-MS0530-2R2M_C380163_front.jpg" TargetMode="External"/><Relationship Id="rId165" Type="http://schemas.openxmlformats.org/officeDocument/2006/relationships/hyperlink" Target="https://media.digikey.com/Renders/Nexperia/1727;SOD123W;;2.jpg" TargetMode="External"/><Relationship Id="rId372" Type="http://schemas.openxmlformats.org/officeDocument/2006/relationships/hyperlink" Target="https://www.diodes.com/assets/Datasheets/ds30041.pdf" TargetMode="External"/><Relationship Id="rId428" Type="http://schemas.openxmlformats.org/officeDocument/2006/relationships/hyperlink" Target="https://media.digikey.com/Renders/STMicro%20Renders/497~5B_ME_V2~T~48.jpg" TargetMode="External"/><Relationship Id="rId232" Type="http://schemas.openxmlformats.org/officeDocument/2006/relationships/hyperlink" Target="https://www.nteinc.com/specs/100to199/pdf/nte123ap.pdf" TargetMode="External"/><Relationship Id="rId274" Type="http://schemas.openxmlformats.org/officeDocument/2006/relationships/hyperlink" Target="https://media.digikey.com/Renders/On%20Semi%20Renders/488;MKT-N16E;;16.jpg" TargetMode="External"/><Relationship Id="rId481" Type="http://schemas.openxmlformats.org/officeDocument/2006/relationships/hyperlink" Target="https://www.espressif.com/sites/default/files/documentation/esp32-wroom-32d_esp32-wroom-32u_datasheet_en.pdf" TargetMode="External"/><Relationship Id="rId27" Type="http://schemas.openxmlformats.org/officeDocument/2006/relationships/hyperlink" Target="https://cdn.shopify.com/s/files/1/0438/4735/2471/products/A000067_00.front_643x483.jpg" TargetMode="External"/><Relationship Id="rId69" Type="http://schemas.openxmlformats.org/officeDocument/2006/relationships/hyperlink" Target="https://media.digikey.com/photos/JST%20Photos/B4B-PH-K-S.jpg" TargetMode="External"/><Relationship Id="rId134" Type="http://schemas.openxmlformats.org/officeDocument/2006/relationships/hyperlink" Target="https://media.digikey.com/photos/Lite%20On%20Photos/LTST-C190KGKT,LTST-C190KRKT,LTST-C190KSKT,LTST-C190KYKT.jpg" TargetMode="External"/><Relationship Id="rId537" Type="http://schemas.openxmlformats.org/officeDocument/2006/relationships/hyperlink" Target="https://www.tracopower.com/products/tck059.pdf" TargetMode="External"/><Relationship Id="rId579" Type="http://schemas.openxmlformats.org/officeDocument/2006/relationships/hyperlink" Target="https://assets.lcsc.com/images/lcsc/900x900/20191105_COILMX-MS0420-100M_C380158_back.jpg" TargetMode="External"/><Relationship Id="rId80" Type="http://schemas.openxmlformats.org/officeDocument/2006/relationships/hyperlink" Target="https://assets.lcsc.com/images/lcsc/900x900/20220804_XKB-Connectivity-DC-005-5A-2-5-SMT_C319133_front.jpg" TargetMode="External"/><Relationship Id="rId176" Type="http://schemas.openxmlformats.org/officeDocument/2006/relationships/hyperlink" Target="https://octopart.com/electronic-parts/integrated-circuits-ics" TargetMode="External"/><Relationship Id="rId341" Type="http://schemas.openxmlformats.org/officeDocument/2006/relationships/hyperlink" Target="https://sensorkit.joy-it.net/files/files/sensors/KY-002/KY-002.png" TargetMode="External"/><Relationship Id="rId383" Type="http://schemas.openxmlformats.org/officeDocument/2006/relationships/hyperlink" Target="https://media.digikey.com/Renders/On%20Semi%20Renders/SOT-23-3,TO-236-3,Micro3,SSD3,SST3.jpg" TargetMode="External"/><Relationship Id="rId439" Type="http://schemas.openxmlformats.org/officeDocument/2006/relationships/hyperlink" Target="https://www.diodes.com/assets/Datasheets/FZT788B.pdf" TargetMode="External"/><Relationship Id="rId590" Type="http://schemas.openxmlformats.org/officeDocument/2006/relationships/hyperlink" Target="https://media.digikey.com/Photos/TXC%20Technology/7B5-SERIES.jpg" TargetMode="External"/><Relationship Id="rId201" Type="http://schemas.openxmlformats.org/officeDocument/2006/relationships/hyperlink" Target="https://media.digikey.com/pdf/Data%20Sheets/Toshiba%20PDFs/ULN2803-04APG_AFWG_11-26-12.pdf" TargetMode="External"/><Relationship Id="rId243" Type="http://schemas.openxmlformats.org/officeDocument/2006/relationships/hyperlink" Target="https://ae01.alicdn.com/kf/HTB1obBOIXXXXXXkXXXXq6xXFXXXy/ATMLU206-AT24C256B-PU-ATMLU206-2ECL-DIP8-IC-Jinmao-Long-Electronics.jpg" TargetMode="External"/><Relationship Id="rId285" Type="http://schemas.openxmlformats.org/officeDocument/2006/relationships/hyperlink" Target="https://media.digikey.com/Photos/NTE-Electronics/MFG_2N3904.jpg" TargetMode="External"/><Relationship Id="rId450" Type="http://schemas.openxmlformats.org/officeDocument/2006/relationships/hyperlink" Target="https://media.digikey.com/Renders/~~Pkg.Case%20or%20Series/8-VDFN.jpg" TargetMode="External"/><Relationship Id="rId506" Type="http://schemas.openxmlformats.org/officeDocument/2006/relationships/hyperlink" Target="https://ww1.microchip.com/downloads/aemDocuments/documents/APID/ProductDocuments/DataSheets/MIC20xx-Fixed-and-Adjustable-Current-Limiting-Power-Distribution-Switches-DS20006486C.pdf" TargetMode="External"/><Relationship Id="rId38" Type="http://schemas.openxmlformats.org/officeDocument/2006/relationships/hyperlink" Target="https://cdn.amphenol-cs.com/media/wysiwyg/files/documentation/datasheet/inputoutput/io_usb_micro.pdf" TargetMode="External"/><Relationship Id="rId103" Type="http://schemas.openxmlformats.org/officeDocument/2006/relationships/hyperlink" Target="https://www.kingbright.com/attachments/file/psearch/000/00/00/KPHHS-1005CGCK(Ver.24B).pdf" TargetMode="External"/><Relationship Id="rId310" Type="http://schemas.openxmlformats.org/officeDocument/2006/relationships/hyperlink" Target="https://sensorkit.joy-it.net/en/sensors/ky-023" TargetMode="External"/><Relationship Id="rId492" Type="http://schemas.openxmlformats.org/officeDocument/2006/relationships/hyperlink" Target="https://media.digikey.com/Renders/Rohm%20Renders/846;UMT6;UM;6.jpg" TargetMode="External"/><Relationship Id="rId548" Type="http://schemas.openxmlformats.org/officeDocument/2006/relationships/hyperlink" Target="http://www.pdc.com.tw/product/pdf/MCS0630%20Series.pdf" TargetMode="External"/><Relationship Id="rId91" Type="http://schemas.openxmlformats.org/officeDocument/2006/relationships/hyperlink" Target="https://assets.lcsc.com/images/lcsc/900x900/20180914_SOFNG-TF-002T-15_C125616_front_10.jpg" TargetMode="External"/><Relationship Id="rId145" Type="http://schemas.openxmlformats.org/officeDocument/2006/relationships/hyperlink" Target="https://media.digikey.com/Renders/Lite%20On%20Renders/LTST-C193TBKT-5A.jpg" TargetMode="External"/><Relationship Id="rId187" Type="http://schemas.openxmlformats.org/officeDocument/2006/relationships/hyperlink" Target="https://www.ti.com/lit/ds/symlink/cd4042b.pdf" TargetMode="External"/><Relationship Id="rId352" Type="http://schemas.openxmlformats.org/officeDocument/2006/relationships/hyperlink" Target="https://sensorkit.joy-it.net/files/files/sensors/KY-003/KY-003.png" TargetMode="External"/><Relationship Id="rId394" Type="http://schemas.openxmlformats.org/officeDocument/2006/relationships/hyperlink" Target="https://assets.lcsc.com/images/lcsc/900x900/20230113_PINREX-210-91-04GB01_C390680_front.jpg" TargetMode="External"/><Relationship Id="rId408" Type="http://schemas.openxmlformats.org/officeDocument/2006/relationships/hyperlink" Target="https://i.ebayimg.com/images/g/VskAAOSws7FciMTR/s-l300.jpg" TargetMode="External"/><Relationship Id="rId212" Type="http://schemas.openxmlformats.org/officeDocument/2006/relationships/hyperlink" Target="https://www.onsemi.com/download/data-sheet/pdf/mm74hc32-d.pdf" TargetMode="External"/><Relationship Id="rId254" Type="http://schemas.openxmlformats.org/officeDocument/2006/relationships/hyperlink" Target="https://media.digikey.com/photos/Lite%20On%20Photos/160-6-DIP.jpg" TargetMode="External"/><Relationship Id="rId49" Type="http://schemas.openxmlformats.org/officeDocument/2006/relationships/hyperlink" Target="https://datasheet.lcsc.com/lcsc/1811151537_Nextron-Nextronics-Engineering-Z-211-0611-0021-001_C190819.pdf" TargetMode="External"/><Relationship Id="rId114" Type="http://schemas.openxmlformats.org/officeDocument/2006/relationships/hyperlink" Target="https://assets.nexperia.com/documents/data-sheet/PBSS8110T.pdf" TargetMode="External"/><Relationship Id="rId296" Type="http://schemas.openxmlformats.org/officeDocument/2006/relationships/hyperlink" Target="https://sensorkit.joy-it.net/en/sensors/ky-005" TargetMode="External"/><Relationship Id="rId461" Type="http://schemas.openxmlformats.org/officeDocument/2006/relationships/hyperlink" Target="https://media.digikey.com/Renders/Analog%20Devices%20Renders/505~CP-8-21~CP~8.jpg" TargetMode="External"/><Relationship Id="rId517" Type="http://schemas.openxmlformats.org/officeDocument/2006/relationships/hyperlink" Target="https://media.digikey.com/Renders/Texas%20Instr%20Renders/14-QFN%20Exp%20Pad.jpg" TargetMode="External"/><Relationship Id="rId559" Type="http://schemas.openxmlformats.org/officeDocument/2006/relationships/hyperlink" Target="https://www.tai-tech.com.tw/_upload/images/1704271114530.png" TargetMode="External"/><Relationship Id="rId60" Type="http://schemas.openxmlformats.org/officeDocument/2006/relationships/hyperlink" Target="https://www.hirose.com/product/document?clcode=CL0536-0109-0-76&amp;productname=DF13-10P-1.25DSA(76)&amp;series=DF13&amp;documenttype=Catalog&amp;lang=en&amp;documentid=D31687_en" TargetMode="External"/><Relationship Id="rId156" Type="http://schemas.openxmlformats.org/officeDocument/2006/relationships/hyperlink" Target="https://media.digikey.com/Renders/Nexperia/1727;SOD123W;;2.jpg" TargetMode="External"/><Relationship Id="rId198" Type="http://schemas.openxmlformats.org/officeDocument/2006/relationships/hyperlink" Target="https://www.holtek.com/documents/10179/116711/HT12A_Ev130.pdf" TargetMode="External"/><Relationship Id="rId321" Type="http://schemas.openxmlformats.org/officeDocument/2006/relationships/hyperlink" Target="https://arduinomodules.info/ky-008-laser-transmitter-module/" TargetMode="External"/><Relationship Id="rId363" Type="http://schemas.openxmlformats.org/officeDocument/2006/relationships/hyperlink" Target="https://cdn.sparkfun.com/assets/b/f/5/a/e/hx711F_EN.pdf" TargetMode="External"/><Relationship Id="rId419" Type="http://schemas.openxmlformats.org/officeDocument/2006/relationships/hyperlink" Target="https://media.digikey.com/Renders/Texas%20Instr%20Renders/296~4073329~DGK~8.JPG" TargetMode="External"/><Relationship Id="rId570" Type="http://schemas.openxmlformats.org/officeDocument/2006/relationships/hyperlink" Target="https://assets.lcsc.com/images/lcsc/900x900/20190117_3L-COILS-SNR8040K-150M_C326353_front.jpg" TargetMode="External"/><Relationship Id="rId223" Type="http://schemas.openxmlformats.org/officeDocument/2006/relationships/hyperlink" Target="https://www.digikey.com/en/htmldatasheets/production/63884/0/0/1/cd4013bc.html" TargetMode="External"/><Relationship Id="rId430" Type="http://schemas.openxmlformats.org/officeDocument/2006/relationships/hyperlink" Target="https://media.digikey.com/renders/Texas%20Instr%20Renders/SOT-23-6%20PKG.jpg" TargetMode="External"/><Relationship Id="rId18" Type="http://schemas.openxmlformats.org/officeDocument/2006/relationships/hyperlink" Target="https://www.modellingelectronics.co.uk/datasheets/miniature-toggle-switch-on-off-on-spdt-pack-of-5-5cae1cf0a26f3.pdf" TargetMode="External"/><Relationship Id="rId265" Type="http://schemas.openxmlformats.org/officeDocument/2006/relationships/hyperlink" Target="https://media.digikey.com/Renders/Microchip%20Tech%20Renders/150~C04-018~P,%20PA~8.JPG" TargetMode="External"/><Relationship Id="rId472" Type="http://schemas.openxmlformats.org/officeDocument/2006/relationships/hyperlink" Target="https://media.digikey.com/Renders/Texas%20Instr%20Renders/8-SOIC.jpg" TargetMode="External"/><Relationship Id="rId528" Type="http://schemas.openxmlformats.org/officeDocument/2006/relationships/hyperlink" Target="https://assets.lcsc.com/images/lcsc/900x900/20230111_Lyontek-Inc--LY68L6400SLIT_C261881_front.jpg" TargetMode="External"/><Relationship Id="rId125" Type="http://schemas.openxmlformats.org/officeDocument/2006/relationships/hyperlink" Target="https://datasheet.lcsc.com/lcsc/1809211348_FMS-Formosa-Microsemi-MM3Z3V3CW_C216102.pdf" TargetMode="External"/><Relationship Id="rId167" Type="http://schemas.openxmlformats.org/officeDocument/2006/relationships/hyperlink" Target="https://assets.lcsc.com/images/lcsc/900x900/20230102_Foshan-NationStar-Optoelectronics-NCD0402B1_C130724_front.jpg" TargetMode="External"/><Relationship Id="rId332" Type="http://schemas.openxmlformats.org/officeDocument/2006/relationships/hyperlink" Target="https://sensorkit.joy-it.net/files/files/sensors/KY-005/KY-005.png" TargetMode="External"/><Relationship Id="rId374" Type="http://schemas.openxmlformats.org/officeDocument/2006/relationships/hyperlink" Target="https://assets.nexperia.com/documents/data-sheet/PMV65XP.pdf" TargetMode="External"/><Relationship Id="rId581" Type="http://schemas.openxmlformats.org/officeDocument/2006/relationships/hyperlink" Target="https://media.digikey.com/Photos/TDK%20Photos/MFG_VLS-EX-H-Series.jpg" TargetMode="External"/><Relationship Id="rId71" Type="http://schemas.openxmlformats.org/officeDocument/2006/relationships/hyperlink" Target="https://media.digikey.com/photos/Molex/22-23-2111.jpg" TargetMode="External"/><Relationship Id="rId234" Type="http://schemas.openxmlformats.org/officeDocument/2006/relationships/hyperlink" Target="https://ww1.microchip.com/downloads/aemDocuments/documents/OTH/ProductDocuments/DataSheets/40001291H.pdf" TargetMode="External"/><Relationship Id="rId2" Type="http://schemas.openxmlformats.org/officeDocument/2006/relationships/hyperlink" Target="https://eu.mouser.com/images/ckcomponents/images/OS102011MA1QN1_t.jpg" TargetMode="External"/><Relationship Id="rId29" Type="http://schemas.openxmlformats.org/officeDocument/2006/relationships/hyperlink" Target="https://www.jst-mfg.com/product/pdf/eng/ePH.pdf" TargetMode="External"/><Relationship Id="rId276" Type="http://schemas.openxmlformats.org/officeDocument/2006/relationships/hyperlink" Target="https://media.digikey.com/Photos/Texas%20Instr%20Photos/Mfg_296~4040049~N~14.jpg" TargetMode="External"/><Relationship Id="rId441" Type="http://schemas.openxmlformats.org/officeDocument/2006/relationships/hyperlink" Target="https://www.st.com/content/ccc/resource/technical/document/datasheet/group3/0e/5a/00/ca/10/1a/4f/a5/DM00366442/files/DM00366442.pdf/jcr:content/translations/en.DM00366442.pdf" TargetMode="External"/><Relationship Id="rId483" Type="http://schemas.openxmlformats.org/officeDocument/2006/relationships/hyperlink" Target="https://www.quectel.com/wp-content/uploads/pdfupload/Quectel_UC200T_UMTS&amp;HSPA_Specification_V1.0.pdf" TargetMode="External"/><Relationship Id="rId539" Type="http://schemas.openxmlformats.org/officeDocument/2006/relationships/hyperlink" Target="https://search.murata.co.jp/Ceramy/image/img/P02/JELF243A-0108.pdf" TargetMode="External"/><Relationship Id="rId40" Type="http://schemas.openxmlformats.org/officeDocument/2006/relationships/hyperlink" Target="https://www.molex.com/pdm_docs/sd/022232111_sd.pdf" TargetMode="External"/><Relationship Id="rId136" Type="http://schemas.openxmlformats.org/officeDocument/2006/relationships/hyperlink" Target="https://media.digikey.com/photos/Lite%20On%20Photos/LTST-C170KGKT,LTST-C170KRKT,LTST-C170KSKT.jpg" TargetMode="External"/><Relationship Id="rId178" Type="http://schemas.openxmlformats.org/officeDocument/2006/relationships/hyperlink" Target="https://octopart.com/electronic-parts/electromechanical" TargetMode="External"/><Relationship Id="rId301" Type="http://schemas.openxmlformats.org/officeDocument/2006/relationships/hyperlink" Target="https://sensorkit.joy-it.net/en/sensors/ky-039" TargetMode="External"/><Relationship Id="rId343" Type="http://schemas.openxmlformats.org/officeDocument/2006/relationships/hyperlink" Target="https://sensorkit.joy-it.net/files/files/sensors/KY-033/KY-033.png" TargetMode="External"/><Relationship Id="rId550" Type="http://schemas.openxmlformats.org/officeDocument/2006/relationships/hyperlink" Target="https://datasheet.lcsc.com/lcsc/2108131530_SXN-Shun-Xiang-Nuo-Elec-SM3521-4R7MT_C35602.pdf" TargetMode="External"/><Relationship Id="rId82" Type="http://schemas.openxmlformats.org/officeDocument/2006/relationships/hyperlink" Target="https://media.digikey.com/photos/Tyco%20Photos/292303-1.JPG" TargetMode="External"/><Relationship Id="rId203" Type="http://schemas.openxmlformats.org/officeDocument/2006/relationships/hyperlink" Target="https://www.digikey.com/en/htmldatasheets/production/1699418/0/0/1/tlp521-2-4.html" TargetMode="External"/><Relationship Id="rId385" Type="http://schemas.openxmlformats.org/officeDocument/2006/relationships/hyperlink" Target="https://media.digikey.com/Renders/Diodes%20Renders/31~SOT23-3~F,N,SA~3.JPG" TargetMode="External"/><Relationship Id="rId592" Type="http://schemas.openxmlformats.org/officeDocument/2006/relationships/hyperlink" Target="https://th.bing.com/th/id/OIP.0FOaZ311i10x1XhLgiMiDgAAAA?pid=ImgDet&amp;rs=1" TargetMode="External"/><Relationship Id="rId245" Type="http://schemas.openxmlformats.org/officeDocument/2006/relationships/hyperlink" Target="https://media.digikey.com/Renders/Texas%20Instr%20Renders/N-24-DIP-Pkg.jpg" TargetMode="External"/><Relationship Id="rId287" Type="http://schemas.openxmlformats.org/officeDocument/2006/relationships/hyperlink" Target="https://sensorkit.joy-it.net/en/sensors/ky-022" TargetMode="External"/><Relationship Id="rId410" Type="http://schemas.openxmlformats.org/officeDocument/2006/relationships/hyperlink" Target="https://media.digikey.com/Photos/Texas%20Instr%20Photos/MFG_LMR16006XDDCR.jpg" TargetMode="External"/><Relationship Id="rId452" Type="http://schemas.openxmlformats.org/officeDocument/2006/relationships/hyperlink" Target="https://media.digikey.com/Renders/Microchip%20Tech%20Renders/150~SOT23-5LD-PD-1-B~M5~5.JPG" TargetMode="External"/><Relationship Id="rId494" Type="http://schemas.openxmlformats.org/officeDocument/2006/relationships/hyperlink" Target="https://media.digikey.com/Renders/~~Pkg.Case%20or%20Series/10-TFSOP,%2010-MSOP.%20Exposed%20Pad.jpg" TargetMode="External"/><Relationship Id="rId508" Type="http://schemas.openxmlformats.org/officeDocument/2006/relationships/hyperlink" Target="https://www.analog.com/media/en/technical-documentation/data-sheets/max6381-max6390.pdf" TargetMode="External"/><Relationship Id="rId105" Type="http://schemas.openxmlformats.org/officeDocument/2006/relationships/hyperlink" Target="http://cdn.sparkfun.com/datasheets/BreakoutBoards/WS2812B.pdf" TargetMode="External"/><Relationship Id="rId147" Type="http://schemas.openxmlformats.org/officeDocument/2006/relationships/hyperlink" Target="https://media.digikey.com/Renders/Lite%20On%20Renders/LTST-C191TGKT.jpg" TargetMode="External"/><Relationship Id="rId312" Type="http://schemas.openxmlformats.org/officeDocument/2006/relationships/hyperlink" Target="https://sensorkit.joy-it.net/en/sensors/ky-036" TargetMode="External"/><Relationship Id="rId354" Type="http://schemas.openxmlformats.org/officeDocument/2006/relationships/hyperlink" Target="https://sensorkit.joy-it.net/files/files/sensors/KY-010/KY-010.png" TargetMode="External"/><Relationship Id="rId51" Type="http://schemas.openxmlformats.org/officeDocument/2006/relationships/hyperlink" Target="https://pinrex.com.tw/Upload/product/product_202011061741182.pdf" TargetMode="External"/><Relationship Id="rId93" Type="http://schemas.openxmlformats.org/officeDocument/2006/relationships/hyperlink" Target="https://datasheet.lcsc.com/lcsc/1811021330_JUSHUO-AFC01-S40FCA-00_C262674.pdf" TargetMode="External"/><Relationship Id="rId189" Type="http://schemas.openxmlformats.org/officeDocument/2006/relationships/hyperlink" Target="https://www.holtek.com/documents/10179/116711/HT12D_Fv140.pdf" TargetMode="External"/><Relationship Id="rId396" Type="http://schemas.openxmlformats.org/officeDocument/2006/relationships/hyperlink" Target="https://assets.lcsc.com/images/lcsc/900x900/20180914_Amphenol-ICC-20021121-00010C4LF_C150517_front.jpg" TargetMode="External"/><Relationship Id="rId561" Type="http://schemas.openxmlformats.org/officeDocument/2006/relationships/hyperlink" Target="https://media.digikey.com/Renders/Epcos%20Renders/SIMID%201210%20(3225%20Metric).jpg" TargetMode="External"/><Relationship Id="rId214" Type="http://schemas.openxmlformats.org/officeDocument/2006/relationships/hyperlink" Target="https://www.onsemi.com/download/data-sheet/pdf/mc14042b-d.pdf" TargetMode="External"/><Relationship Id="rId256" Type="http://schemas.openxmlformats.org/officeDocument/2006/relationships/hyperlink" Target="https://eu.mouser.com/images/texasinstruments/images/TI_PDIP_8.jpg" TargetMode="External"/><Relationship Id="rId298" Type="http://schemas.openxmlformats.org/officeDocument/2006/relationships/hyperlink" Target="https://sensorkit.joy-it.net/en/sensors/ky-027" TargetMode="External"/><Relationship Id="rId421" Type="http://schemas.openxmlformats.org/officeDocument/2006/relationships/hyperlink" Target="https://media.digikey.com/Renders/Diodes%20Renders/31~SOT25~DA,-HR,-HT,-W~5.jpg" TargetMode="External"/><Relationship Id="rId463" Type="http://schemas.openxmlformats.org/officeDocument/2006/relationships/hyperlink" Target="https://media.digikey.com/Renders/Texas%20Instr%20Renders/296~4040047-5~D~14.JPG" TargetMode="External"/><Relationship Id="rId519" Type="http://schemas.openxmlformats.org/officeDocument/2006/relationships/hyperlink" Target="https://media.digikey.com/photos/Avago%20Tech%20Photos/ACPL-217-500E.JPG" TargetMode="External"/><Relationship Id="rId116" Type="http://schemas.openxmlformats.org/officeDocument/2006/relationships/hyperlink" Target="https://www.diodes.com/assets/Datasheets/ds16003.pdf" TargetMode="External"/><Relationship Id="rId158" Type="http://schemas.openxmlformats.org/officeDocument/2006/relationships/hyperlink" Target="https://media.digikey.com/Renders/On%20Semi%20Renders/SOD-123_498.jpg" TargetMode="External"/><Relationship Id="rId323" Type="http://schemas.openxmlformats.org/officeDocument/2006/relationships/hyperlink" Target="https://cdn-learn.adafruit.com/downloads/pdf/adafruit-4-channel-adc-breakouts.pdf" TargetMode="External"/><Relationship Id="rId530" Type="http://schemas.openxmlformats.org/officeDocument/2006/relationships/hyperlink" Target="https://cb-electronics.com/products/xkt-335/" TargetMode="External"/><Relationship Id="rId20" Type="http://schemas.openxmlformats.org/officeDocument/2006/relationships/hyperlink" Target="https://datasheet.lcsc.com/lcsc/1810301448_XKB-Connectivity-SS-12D28L5_C319007.pdf" TargetMode="External"/><Relationship Id="rId62" Type="http://schemas.openxmlformats.org/officeDocument/2006/relationships/hyperlink" Target="https://www.jst-mfg.com/product/pdf/eng/ePH.pdf" TargetMode="External"/><Relationship Id="rId365" Type="http://schemas.openxmlformats.org/officeDocument/2006/relationships/hyperlink" Target="https://toshiba.semicon-storage.com/info/SSM3J334R_datasheet_en_20181004.pdf" TargetMode="External"/><Relationship Id="rId572" Type="http://schemas.openxmlformats.org/officeDocument/2006/relationships/hyperlink" Target="https://media.digikey.com/Photos/TDK%20Photos/MFG_MMZ1005.jpg" TargetMode="External"/><Relationship Id="rId225" Type="http://schemas.openxmlformats.org/officeDocument/2006/relationships/hyperlink" Target="https://ww1.microchip.com/downloads/aemDocuments/documents/OTH/ProductDocuments/DataSheets/40001291H.pdf" TargetMode="External"/><Relationship Id="rId267" Type="http://schemas.openxmlformats.org/officeDocument/2006/relationships/hyperlink" Target="https://media.digikey.com/Photos/Texas%20Instr%20Photos/296~4040049~N~20.jpg" TargetMode="External"/><Relationship Id="rId432" Type="http://schemas.openxmlformats.org/officeDocument/2006/relationships/hyperlink" Target="https://media.digikey.com/Renders/Diodes%20Renders/31~SOT23-3~F,N,SA~3.JPG" TargetMode="External"/><Relationship Id="rId474" Type="http://schemas.openxmlformats.org/officeDocument/2006/relationships/hyperlink" Target="https://media.digikey.com/Renders/Texas%20Instr%20Renders/8-SOIC.jpg" TargetMode="External"/><Relationship Id="rId127" Type="http://schemas.openxmlformats.org/officeDocument/2006/relationships/hyperlink" Target="https://www.diodes.com/assets/Datasheets/B320AE/B340AE.pdf" TargetMode="External"/><Relationship Id="rId31" Type="http://schemas.openxmlformats.org/officeDocument/2006/relationships/hyperlink" Target="https://www.hirose.com/en/product/document?clcode=CL0331-0472-2-80&amp;productname=U.FL-R-SMT-1(80)&amp;series=U.FL&amp;documenttype=SpecSheet&amp;lang=en&amp;documentid=0000266838" TargetMode="External"/><Relationship Id="rId73" Type="http://schemas.openxmlformats.org/officeDocument/2006/relationships/hyperlink" Target="https://media.digikey.com/photos/JST%20Photos/B2B-PH-K-S.jpg" TargetMode="External"/><Relationship Id="rId169" Type="http://schemas.openxmlformats.org/officeDocument/2006/relationships/hyperlink" Target="https://www.vishay.com/images/product-images/pt-large/93289-pt-large.jpg" TargetMode="External"/><Relationship Id="rId334" Type="http://schemas.openxmlformats.org/officeDocument/2006/relationships/hyperlink" Target="https://sensorkit.joy-it.net/files/files/sensors/KY-027/KY-027.png" TargetMode="External"/><Relationship Id="rId376" Type="http://schemas.openxmlformats.org/officeDocument/2006/relationships/hyperlink" Target="https://assets.nexperia.com/documents/data-sheet/BSS138PS.pdf" TargetMode="External"/><Relationship Id="rId541" Type="http://schemas.openxmlformats.org/officeDocument/2006/relationships/hyperlink" Target="https://datasheet.lcsc.com/lcsc/1912181207_GLE-GCNR5040-6R8MC_C439377.pdf" TargetMode="External"/><Relationship Id="rId583" Type="http://schemas.openxmlformats.org/officeDocument/2006/relationships/hyperlink" Target="https://abracon.com/Resonators/ABS07.pdf" TargetMode="External"/><Relationship Id="rId4" Type="http://schemas.openxmlformats.org/officeDocument/2006/relationships/hyperlink" Target="https://media.digikey.com/Photos/Panasonic%20Photos/ESE-18R63D.jpg" TargetMode="External"/><Relationship Id="rId180" Type="http://schemas.openxmlformats.org/officeDocument/2006/relationships/hyperlink" Target="https://octopart.com/electronic-parts/integrated-circuits-ics/power-management-ics" TargetMode="External"/><Relationship Id="rId236" Type="http://schemas.openxmlformats.org/officeDocument/2006/relationships/hyperlink" Target="https://media.digikey.com/Photos/Texas%20Instr%20Photos/Mfg_296~4040049~N~14.jpg" TargetMode="External"/><Relationship Id="rId278" Type="http://schemas.openxmlformats.org/officeDocument/2006/relationships/hyperlink" Target="https://media.digikey.com/Renders/~~Pkg.Case%20or%20Series/DIP16_SOT38-1%20Pkg.jpg" TargetMode="External"/><Relationship Id="rId401" Type="http://schemas.openxmlformats.org/officeDocument/2006/relationships/hyperlink" Target="https://rocelec.widen.net/view/pdf/scsoffizpz/MAXMS13363-1.pdf" TargetMode="External"/><Relationship Id="rId443" Type="http://schemas.openxmlformats.org/officeDocument/2006/relationships/hyperlink" Target="https://www.st.com/content/ccc/resource/technical/document/datasheet/group1/b4/cc/cf/13/18/28/44/f5/CD00000465/files/CD00000465.pdf/jcr:content/translations/en.CD00000465.pdf" TargetMode="External"/><Relationship Id="rId303" Type="http://schemas.openxmlformats.org/officeDocument/2006/relationships/hyperlink" Target="https://sensorkit.joy-it.net/en/sensors/ky-006" TargetMode="External"/><Relationship Id="rId485" Type="http://schemas.openxmlformats.org/officeDocument/2006/relationships/hyperlink" Target="https://media.digikey.com/Photos/National%20Semi%20Photos/MFG_LMZ1xxxx%20SSPM.jpg" TargetMode="External"/><Relationship Id="rId42" Type="http://schemas.openxmlformats.org/officeDocument/2006/relationships/hyperlink" Target="https://www.jst-mfg.com/product/pdf/eng/ePH.pdf" TargetMode="External"/><Relationship Id="rId84" Type="http://schemas.openxmlformats.org/officeDocument/2006/relationships/hyperlink" Target="https://media.digikey.com/photos/Tyco%20Amp%20Photos/640456-3,%20640454-3.jpg" TargetMode="External"/><Relationship Id="rId138" Type="http://schemas.openxmlformats.org/officeDocument/2006/relationships/hyperlink" Target="https://media.digikey.com/Renders/American-Bright-Optoelectronics-Corporation/BL-HGE37A-AV-TRB.jpg" TargetMode="External"/><Relationship Id="rId345" Type="http://schemas.openxmlformats.org/officeDocument/2006/relationships/hyperlink" Target="https://sensorkit.joy-it.net/files/files/sensors/KY-023/KY-023.png" TargetMode="External"/><Relationship Id="rId387" Type="http://schemas.openxmlformats.org/officeDocument/2006/relationships/hyperlink" Target="https://media.digikey.com/Renders/Nexperia/1727~SOT23~~3.JPG" TargetMode="External"/><Relationship Id="rId510" Type="http://schemas.openxmlformats.org/officeDocument/2006/relationships/hyperlink" Target="https://www.ti.com/lit/ds/symlink/sn74lv1t34.pdf" TargetMode="External"/><Relationship Id="rId552" Type="http://schemas.openxmlformats.org/officeDocument/2006/relationships/hyperlink" Target="https://www.we-online.com/components/products/datasheet/7447480101.pdf" TargetMode="External"/><Relationship Id="rId594" Type="http://schemas.openxmlformats.org/officeDocument/2006/relationships/hyperlink" Target="https://assets.lcsc.com/images/lcsc/900x900/20230204_TAITIEN-Elec-XXDCCLNANF-8-000000MHZ_C521664_blank.jpg" TargetMode="External"/><Relationship Id="rId191" Type="http://schemas.openxmlformats.org/officeDocument/2006/relationships/hyperlink" Target="https://www.ti.com/lit/ds/symlink/sn74ls08.pdf" TargetMode="External"/><Relationship Id="rId205" Type="http://schemas.openxmlformats.org/officeDocument/2006/relationships/hyperlink" Target="https://octopart.com/datasheet/sn74ls00n-onsemi-92417?utm_source=bing&amp;utm_medium=cpc&amp;utm_campaign=b_cpc_intl_search_dsa_english_en_usd_datasheets&amp;utm_term=datasheet&amp;utm_content=Intl%20Datasheet%20DSA" TargetMode="External"/><Relationship Id="rId247" Type="http://schemas.openxmlformats.org/officeDocument/2006/relationships/hyperlink" Target="https://media.digikey.com/Photos/Intersil%20Photos/MFG_8-PDIP,%20E8_3%20PKG.jpg" TargetMode="External"/><Relationship Id="rId412" Type="http://schemas.openxmlformats.org/officeDocument/2006/relationships/hyperlink" Target="https://media.digikey.com/renders/Microchip%20Tech%20Renders/150;20VQFN-.90-3x3;ZCL;20.jpg" TargetMode="External"/><Relationship Id="rId107" Type="http://schemas.openxmlformats.org/officeDocument/2006/relationships/hyperlink" Target="https://datasheet.lcsc.com/lcsc/1811081329_Everlight-Elec-19-21SYGC-S530-E2-TR8_C136120.pdf" TargetMode="External"/><Relationship Id="rId289" Type="http://schemas.openxmlformats.org/officeDocument/2006/relationships/hyperlink" Target="https://sensorkit.joy-it.net/en/sensors/ky-021" TargetMode="External"/><Relationship Id="rId454" Type="http://schemas.openxmlformats.org/officeDocument/2006/relationships/hyperlink" Target="https://media.digikey.com/Renders/Diodes%20Renders/SOT143.jpg" TargetMode="External"/><Relationship Id="rId496" Type="http://schemas.openxmlformats.org/officeDocument/2006/relationships/hyperlink" Target="https://media.digikey.com/Photos/Espressif%20Systems/MFG_ESP32-PICO-D4.jpg" TargetMode="External"/><Relationship Id="rId11" Type="http://schemas.openxmlformats.org/officeDocument/2006/relationships/hyperlink" Target="https://eu.mouser.com/images/wurthelectronics/images/WS_BS_4181172709xx_SPL.jpg" TargetMode="External"/><Relationship Id="rId53" Type="http://schemas.openxmlformats.org/officeDocument/2006/relationships/hyperlink" Target="http://www.szjiln.com/upload/portal/20220504/202205041739577094.pdf" TargetMode="External"/><Relationship Id="rId149" Type="http://schemas.openxmlformats.org/officeDocument/2006/relationships/hyperlink" Target="https://assets.lcsc.com/images/lcsc/900x900/20230102_Lite-On-LTST-C191KGKT_C125098_front.jpg" TargetMode="External"/><Relationship Id="rId314" Type="http://schemas.openxmlformats.org/officeDocument/2006/relationships/hyperlink" Target="https://electropeak.com/learn/interfacing-zmpt101b-voltage-sensor-with-arduino/" TargetMode="External"/><Relationship Id="rId356" Type="http://schemas.openxmlformats.org/officeDocument/2006/relationships/hyperlink" Target="https://sensorkit.joy-it.net/files/files/sensors/KY-018/KY-018.png" TargetMode="External"/><Relationship Id="rId398" Type="http://schemas.openxmlformats.org/officeDocument/2006/relationships/hyperlink" Target="https://assets.lcsc.com/images/lcsc/900x900/20200730_Ningbo-Kangnex-Elec-WJ126V-5-0-6P_C8379_front.jpg" TargetMode="External"/><Relationship Id="rId521" Type="http://schemas.openxmlformats.org/officeDocument/2006/relationships/hyperlink" Target="https://media.digikey.com/photos/AVX%20Photos/F93%20SERIES%201411(3528)%20PKG.JPG" TargetMode="External"/><Relationship Id="rId563" Type="http://schemas.openxmlformats.org/officeDocument/2006/relationships/hyperlink" Target="https://media.digikey.com/Photos/Traco-Power-North-America/MFG_TCK-044.jpg" TargetMode="External"/><Relationship Id="rId95" Type="http://schemas.openxmlformats.org/officeDocument/2006/relationships/hyperlink" Target="https://optoelectronics.liteon.com/upload/download/DS22-2000-074/LTST-C190KGKT.PDF" TargetMode="External"/><Relationship Id="rId160" Type="http://schemas.openxmlformats.org/officeDocument/2006/relationships/hyperlink" Target="https://media.digikey.com/Renders/On%20Semi%20Renders/SOD-123_425.jpg" TargetMode="External"/><Relationship Id="rId216" Type="http://schemas.openxmlformats.org/officeDocument/2006/relationships/hyperlink" Target="https://ww1.microchip.com/downloads/aemDocuments/documents/MCU08/ProductDocuments/DataSheets/ATmega8A-Data-Sheet-DS40001974B.pdf" TargetMode="External"/><Relationship Id="rId423" Type="http://schemas.openxmlformats.org/officeDocument/2006/relationships/hyperlink" Target="https://media.digikey.com/Renders/Texas%20Instr%20Renders/8-SOIC.jpg" TargetMode="External"/><Relationship Id="rId258" Type="http://schemas.openxmlformats.org/officeDocument/2006/relationships/hyperlink" Target="https://eu.mouser.com/images/sharpmicroelectronics/images/pc123.jpg" TargetMode="External"/><Relationship Id="rId465" Type="http://schemas.openxmlformats.org/officeDocument/2006/relationships/hyperlink" Target="https://media.digikey.com/Renders/Microchip%20Tech%20Renders/150~64TQFP-1.2-10x10~~64.JPG" TargetMode="External"/><Relationship Id="rId22" Type="http://schemas.openxmlformats.org/officeDocument/2006/relationships/hyperlink" Target="https://datasheet.lcsc.com/lcsc/2002271813_XKB-Connectivity-SS-3235D-03-L2_C381097.pdf" TargetMode="External"/><Relationship Id="rId64" Type="http://schemas.openxmlformats.org/officeDocument/2006/relationships/hyperlink" Target="https://media.digikey.com/photos/JST%20Photos/B3B-XH-A(LF)(SN).jpg" TargetMode="External"/><Relationship Id="rId118" Type="http://schemas.openxmlformats.org/officeDocument/2006/relationships/hyperlink" Target="https://www.onsemi.com/pdf/datasheet/mbrm140-d.pdf" TargetMode="External"/><Relationship Id="rId325" Type="http://schemas.openxmlformats.org/officeDocument/2006/relationships/hyperlink" Target="https://sensorkit.joy-it.net/files/files/sensors/KY-032/KY-032.png" TargetMode="External"/><Relationship Id="rId367" Type="http://schemas.openxmlformats.org/officeDocument/2006/relationships/hyperlink" Target="https://www.mccsemi.com/pdf/Products/MMBT3904(SOT-23).pdf" TargetMode="External"/><Relationship Id="rId532" Type="http://schemas.openxmlformats.org/officeDocument/2006/relationships/hyperlink" Target="https://product.tdk.com/en/system/files?file=dam/doc/product/emc/emc/beads/catalog/beads_commercial_signal_mmz0603_en.pdf" TargetMode="External"/><Relationship Id="rId574" Type="http://schemas.openxmlformats.org/officeDocument/2006/relationships/hyperlink" Target="https://assets.lcsc.com/images/lcsc/900x900/20230220_PSA-Prosperity-Dielectrics-MCS0630-1R5MN2_C400394_back.jpg" TargetMode="External"/><Relationship Id="rId171" Type="http://schemas.openxmlformats.org/officeDocument/2006/relationships/hyperlink" Target="https://eu.mouser.com/images/kingbright/images/aphhs1005seck.jpg" TargetMode="External"/><Relationship Id="rId227" Type="http://schemas.openxmlformats.org/officeDocument/2006/relationships/hyperlink" Target="https://www.analog.com/media/en/technical-documentation/data-sheets/DS1267.pdf" TargetMode="External"/><Relationship Id="rId269" Type="http://schemas.openxmlformats.org/officeDocument/2006/relationships/hyperlink" Target="https://media.digikey.com/Renders/Maxim%20Renders/16-DIP.jpg" TargetMode="External"/><Relationship Id="rId434" Type="http://schemas.openxmlformats.org/officeDocument/2006/relationships/hyperlink" Target="https://assets.lcsc.com/images/lcsc/900x900/20180914_Axelite-Tech-AX5523CA_C157694_front.jpg" TargetMode="External"/><Relationship Id="rId476" Type="http://schemas.openxmlformats.org/officeDocument/2006/relationships/hyperlink" Target="https://media.digikey.com/Photos/Silicon%20Labs%20Photos/MFG_EFR32xG13.jpg" TargetMode="External"/><Relationship Id="rId33" Type="http://schemas.openxmlformats.org/officeDocument/2006/relationships/hyperlink" Target="https://cdn.amphenol-cs.com/media/wysiwyg/files/documentation/datasheet/inputoutput/io_usb_micro.pdf" TargetMode="External"/><Relationship Id="rId129" Type="http://schemas.openxmlformats.org/officeDocument/2006/relationships/hyperlink" Target="https://www.diodes.com/assets/Datasheets/ds30217.pdf" TargetMode="External"/><Relationship Id="rId280" Type="http://schemas.openxmlformats.org/officeDocument/2006/relationships/hyperlink" Target="https://media.digikey.com/Renders/Microchip%20Tech%20Renders/150~40P6~~40.JPG" TargetMode="External"/><Relationship Id="rId336" Type="http://schemas.openxmlformats.org/officeDocument/2006/relationships/hyperlink" Target="https://sensorkit.joy-it.net/files/files/sensors/KY-031/KY-031.png" TargetMode="External"/><Relationship Id="rId501" Type="http://schemas.openxmlformats.org/officeDocument/2006/relationships/hyperlink" Target="https://www.mouser.com/datasheet/2/813/hx711_english-1022875.pdf" TargetMode="External"/><Relationship Id="rId543" Type="http://schemas.openxmlformats.org/officeDocument/2006/relationships/hyperlink" Target="https://datasheet.lcsc.com/lcsc/2006231815_YJYCOIN-YNR6028-1R5N_C341052.pdf" TargetMode="External"/><Relationship Id="rId75" Type="http://schemas.openxmlformats.org/officeDocument/2006/relationships/hyperlink" Target="https://media.digikey.com/Photos/Molex/0476420001.jpg" TargetMode="External"/><Relationship Id="rId140" Type="http://schemas.openxmlformats.org/officeDocument/2006/relationships/hyperlink" Target="https://assets.lcsc.com/images/lcsc/900x900/20180914_Brightek-Optoelectronics-2SA0402S11A0JT01_C233194_front.jpg" TargetMode="External"/><Relationship Id="rId182" Type="http://schemas.openxmlformats.org/officeDocument/2006/relationships/hyperlink" Target="https://octopart.com/electronic-parts/integrated-circuits-ics/power-management-ics/gate-drivers" TargetMode="External"/><Relationship Id="rId378" Type="http://schemas.openxmlformats.org/officeDocument/2006/relationships/hyperlink" Target="https://media.digikey.com/Renders/Toshiba%20Renders/SOT-23-3%20Flat%20Leads%20PKG.jpg" TargetMode="External"/><Relationship Id="rId403" Type="http://schemas.openxmlformats.org/officeDocument/2006/relationships/hyperlink" Target="https://www.ti.com/lit/ds/symlink/tps61230.pdf" TargetMode="External"/><Relationship Id="rId585" Type="http://schemas.openxmlformats.org/officeDocument/2006/relationships/hyperlink" Target="http://cfd.citizen.co.jp/cms/cfd/pdf/english/CM200C_E.pdf" TargetMode="External"/><Relationship Id="rId6" Type="http://schemas.openxmlformats.org/officeDocument/2006/relationships/hyperlink" Target="https://www.modellingelectronics.co.uk/images/products/miniature-toggle-switches-salecom-t80-t-5ca9bf806dac1.jpg" TargetMode="External"/><Relationship Id="rId238" Type="http://schemas.openxmlformats.org/officeDocument/2006/relationships/hyperlink" Target="https://media.digikey.com/Renders/~~Pkg.Case%20or%20Series/DIP16_SOT38-1%20Pkg.jpg" TargetMode="External"/><Relationship Id="rId445" Type="http://schemas.openxmlformats.org/officeDocument/2006/relationships/hyperlink" Target="https://www.onsemi.com/pdf/datasheet/ncp3335a-d.pdf" TargetMode="External"/><Relationship Id="rId487" Type="http://schemas.openxmlformats.org/officeDocument/2006/relationships/hyperlink" Target="https://uge-one.com/image/cache/catalog/0%200%201%201%20By%20UGE/xkt-510-integrated-wireless-charger-transmitter-ic-smd-sop8-550x550.webp" TargetMode="External"/><Relationship Id="rId291" Type="http://schemas.openxmlformats.org/officeDocument/2006/relationships/hyperlink" Target="https://sensorkit.joy-it.net/en/sensors/ky-028" TargetMode="External"/><Relationship Id="rId305" Type="http://schemas.openxmlformats.org/officeDocument/2006/relationships/hyperlink" Target="https://sensorkit.joy-it.net/en/sensors/ky-011" TargetMode="External"/><Relationship Id="rId347" Type="http://schemas.openxmlformats.org/officeDocument/2006/relationships/hyperlink" Target="https://sensorkit.joy-it.net/files/files/sensors/KY-036/KY-036.png" TargetMode="External"/><Relationship Id="rId512" Type="http://schemas.openxmlformats.org/officeDocument/2006/relationships/hyperlink" Target="https://www.diodes.com/assets/Datasheets/AZ34063U.pdf" TargetMode="External"/><Relationship Id="rId44" Type="http://schemas.openxmlformats.org/officeDocument/2006/relationships/hyperlink" Target="https://www.molex.com/pdm_docs/sd/476420001_sd.pdf" TargetMode="External"/><Relationship Id="rId86" Type="http://schemas.openxmlformats.org/officeDocument/2006/relationships/hyperlink" Target="https://assets.lcsc.com/images/lcsc/900x900/20190121_MINTRON-MTP125-1105S1_C358687_back.jpg" TargetMode="External"/><Relationship Id="rId151" Type="http://schemas.openxmlformats.org/officeDocument/2006/relationships/hyperlink" Target="https://media.digikey.com/Photos/Fairchild%20Semi%20Photos/S1J.jpg" TargetMode="External"/><Relationship Id="rId389" Type="http://schemas.openxmlformats.org/officeDocument/2006/relationships/hyperlink" Target="https://media.digikey.com/Photos/Nexperia/MFG_SOT363.jpg" TargetMode="External"/><Relationship Id="rId554" Type="http://schemas.openxmlformats.org/officeDocument/2006/relationships/hyperlink" Target="https://product.tdk.com/en/system/files?file=dam/doc/product/inductor/inductor/smd/catalog/inductor_commercial_power_vlcf5020_en.pdf" TargetMode="External"/><Relationship Id="rId193" Type="http://schemas.openxmlformats.org/officeDocument/2006/relationships/hyperlink" Target="https://www.ti.com/lit/ds/symlink/cd4067b.pdf" TargetMode="External"/><Relationship Id="rId207" Type="http://schemas.openxmlformats.org/officeDocument/2006/relationships/hyperlink" Target="https://ww1.microchip.com/downloads/aemDocuments/documents/MCU08/ProductDocuments/DataSheets/40039F.pdf" TargetMode="External"/><Relationship Id="rId249" Type="http://schemas.openxmlformats.org/officeDocument/2006/relationships/hyperlink" Target="https://media.digikey.com/Renders/~~Pkg.Case%20or%20Series/8-DIP.jpg" TargetMode="External"/><Relationship Id="rId414" Type="http://schemas.openxmlformats.org/officeDocument/2006/relationships/hyperlink" Target="https://media.digikey.com/Renders/Microchip%20Tech%20Renders/150~C04-091~CT,%20OT~5.JPG" TargetMode="External"/><Relationship Id="rId456" Type="http://schemas.openxmlformats.org/officeDocument/2006/relationships/hyperlink" Target="https://www.ti.com/lit/ds/symlink/ina2332.pdf" TargetMode="External"/><Relationship Id="rId498" Type="http://schemas.openxmlformats.org/officeDocument/2006/relationships/hyperlink" Target="https://media.digikey.com/Renders/Trinamic%20Renders/1460~28QFN-,90-5x5~L~28.jpg" TargetMode="External"/><Relationship Id="rId13" Type="http://schemas.openxmlformats.org/officeDocument/2006/relationships/hyperlink" Target="https://www.digikey.com/en/htmldatasheets/production/883789/0/0/1/b3u-series-datasheet.html" TargetMode="External"/><Relationship Id="rId109" Type="http://schemas.openxmlformats.org/officeDocument/2006/relationships/hyperlink" Target="https://datasheet.lcsc.com/lcsc/1811141223_TOGIALED-TJ-S1608SW6TGLC2G-A5_C192316.pdf" TargetMode="External"/><Relationship Id="rId260" Type="http://schemas.openxmlformats.org/officeDocument/2006/relationships/hyperlink" Target="https://media.digikey.com/Photos/Rochester/MFG_FW257-TL-E.jpg" TargetMode="External"/><Relationship Id="rId316" Type="http://schemas.openxmlformats.org/officeDocument/2006/relationships/hyperlink" Target="https://sensorkit.joy-it.net/en/sensors/ky-001" TargetMode="External"/><Relationship Id="rId523" Type="http://schemas.openxmlformats.org/officeDocument/2006/relationships/hyperlink" Target="https://media.digikey.com/Photos/Roving%20Networks%20Photos/RN-42-N.jpg" TargetMode="External"/><Relationship Id="rId55" Type="http://schemas.openxmlformats.org/officeDocument/2006/relationships/hyperlink" Target="https://media.digikey.com/pdf/Data%20Sheets/FCI%20PDFs/Minitek%20127_Catalog.pdf" TargetMode="External"/><Relationship Id="rId97" Type="http://schemas.openxmlformats.org/officeDocument/2006/relationships/hyperlink" Target="https://optoelectronics.liteon.com/upload/download/DS22-2000-073/LTST-C170KGKT.PDF" TargetMode="External"/><Relationship Id="rId120" Type="http://schemas.openxmlformats.org/officeDocument/2006/relationships/hyperlink" Target="https://www.vishay.com/docs/88751/ss32.pdf" TargetMode="External"/><Relationship Id="rId358" Type="http://schemas.openxmlformats.org/officeDocument/2006/relationships/hyperlink" Target="https://sensorkit.joy-it.net/en/sensors/ky-015" TargetMode="External"/><Relationship Id="rId565" Type="http://schemas.openxmlformats.org/officeDocument/2006/relationships/hyperlink" Target="https://media.digikey.com/Photos/Murata%20Photos/LQH5BPN1R5NT0L.JPG" TargetMode="External"/><Relationship Id="rId162" Type="http://schemas.openxmlformats.org/officeDocument/2006/relationships/hyperlink" Target="https://assets.lcsc.com/images/lcsc/900x900/20190216_PANJIT-International-BZD27C5V1P-R1-00001_C313479_front.jpg" TargetMode="External"/><Relationship Id="rId218" Type="http://schemas.openxmlformats.org/officeDocument/2006/relationships/hyperlink" Target="https://toshiba.semicon-storage.com/info/TC4066BP_datasheet_en_20170718.pdf?did=18812&amp;prodName=TC4066BP" TargetMode="External"/><Relationship Id="rId425" Type="http://schemas.openxmlformats.org/officeDocument/2006/relationships/hyperlink" Target="https://www.nxp.com/docs/en/data-sheet/PCF8563.pdf" TargetMode="External"/><Relationship Id="rId467" Type="http://schemas.openxmlformats.org/officeDocument/2006/relationships/hyperlink" Target="https://media.digikey.com/Renders/Microchip%20Tech%20Renders/150;-32A;-A,-AU;-32-Top.jpg" TargetMode="External"/><Relationship Id="rId271" Type="http://schemas.openxmlformats.org/officeDocument/2006/relationships/hyperlink" Target="https://media.digikey.com/Renders/~~Pkg.Case%20or%20Series/20-DIP.jpg" TargetMode="External"/><Relationship Id="rId24" Type="http://schemas.openxmlformats.org/officeDocument/2006/relationships/hyperlink" Target="https://eu.mouser.com/datasheet/2/670/ds02_254-1777565.pdf" TargetMode="External"/><Relationship Id="rId66" Type="http://schemas.openxmlformats.org/officeDocument/2006/relationships/hyperlink" Target="https://media.digikey.com/Photos/TE%20Connectivity/MFG_2305018-2.jpg" TargetMode="External"/><Relationship Id="rId131" Type="http://schemas.openxmlformats.org/officeDocument/2006/relationships/hyperlink" Target="https://www.diodes.com/assets/Datasheets/ds30093.pdf" TargetMode="External"/><Relationship Id="rId327" Type="http://schemas.openxmlformats.org/officeDocument/2006/relationships/hyperlink" Target="https://sensorkit.joy-it.net/files/files/sensors/KY-026/KY-026.png" TargetMode="External"/><Relationship Id="rId369" Type="http://schemas.openxmlformats.org/officeDocument/2006/relationships/hyperlink" Target="https://www.onsemi.com/pdf/datasheet/nzt660a-d.pdf" TargetMode="External"/><Relationship Id="rId534" Type="http://schemas.openxmlformats.org/officeDocument/2006/relationships/hyperlink" Target="https://datasheet.lcsc.com/lcsc/2009171335_TAI-TECH-HCB1005MF-100T25_C155103.pdf" TargetMode="External"/><Relationship Id="rId576" Type="http://schemas.openxmlformats.org/officeDocument/2006/relationships/hyperlink" Target="https://assets.lcsc.com/images/lcsc/900x900/20180914_SXN-Shun-Xiang-Nuo-Elec-SM3521-4R7MT_C35602_front.jpg" TargetMode="External"/><Relationship Id="rId173" Type="http://schemas.openxmlformats.org/officeDocument/2006/relationships/hyperlink" Target="https://octopart.com/electronic-parts/integrated-circuits-ics" TargetMode="External"/><Relationship Id="rId229" Type="http://schemas.openxmlformats.org/officeDocument/2006/relationships/hyperlink" Target="https://www.st.com/resource/en/datasheet/hcc4050b.pdf" TargetMode="External"/><Relationship Id="rId380" Type="http://schemas.openxmlformats.org/officeDocument/2006/relationships/hyperlink" Target="https://media.digikey.com/Renders/~~Pkg.Case%20or%20Series/SOT-23-3%20PKG.jpg" TargetMode="External"/><Relationship Id="rId436" Type="http://schemas.openxmlformats.org/officeDocument/2006/relationships/hyperlink" Target="https://cdn2.webdamdb.com/1280_o2JHEA1DDLx55cR1.jpg" TargetMode="External"/><Relationship Id="rId240" Type="http://schemas.openxmlformats.org/officeDocument/2006/relationships/hyperlink" Target="https://www.robomart.com/image/cache/catalog/RM0061/ht12d-ics-rm0061-by-robomart-109-500x500.jpg" TargetMode="External"/><Relationship Id="rId478" Type="http://schemas.openxmlformats.org/officeDocument/2006/relationships/hyperlink" Target="https://media.digikey.com/Renders/STMicro%20Renders/497;208-1.6-28x28;;208.jpg" TargetMode="External"/><Relationship Id="rId35" Type="http://schemas.openxmlformats.org/officeDocument/2006/relationships/hyperlink" Target="https://www.jst-mfg.com/product/pdf/eng/ePH.pdf" TargetMode="External"/><Relationship Id="rId77" Type="http://schemas.openxmlformats.org/officeDocument/2006/relationships/hyperlink" Target="https://media.digikey.com/photos/CnC%20Tech/3221-16-0300-00.JPG" TargetMode="External"/><Relationship Id="rId100" Type="http://schemas.openxmlformats.org/officeDocument/2006/relationships/hyperlink" Target="https://datasheet.lcsc.com/lcsc/1810191242_TOGIALED-TJ-S1005SW4TGLC7K-A5_C273601.pdf" TargetMode="External"/><Relationship Id="rId282" Type="http://schemas.openxmlformats.org/officeDocument/2006/relationships/hyperlink" Target="https://media.digikey.com/Renders/~~Pkg.Case%20or%20Series/8-DIP.jpg" TargetMode="External"/><Relationship Id="rId338" Type="http://schemas.openxmlformats.org/officeDocument/2006/relationships/hyperlink" Target="https://sensorkit.joy-it.net/files/files/sensors/KY-006/KY-006.png" TargetMode="External"/><Relationship Id="rId503" Type="http://schemas.openxmlformats.org/officeDocument/2006/relationships/hyperlink" Target="https://media.digikey.com/Renders/Diodes%20Renders/31~10MSOP-3~~10.JPG" TargetMode="External"/><Relationship Id="rId545" Type="http://schemas.openxmlformats.org/officeDocument/2006/relationships/hyperlink" Target="https://www.eaton.com/content/dam/eaton/products/electronic-components/resources/data-sheet/eaton-hcm0703-high-current-power-inductors-data-sheet.pdf" TargetMode="External"/><Relationship Id="rId587" Type="http://schemas.openxmlformats.org/officeDocument/2006/relationships/hyperlink" Target="https://support.epson.biz/td/api/doc_check.php?dl=brief_FC-12D&amp;lang=en" TargetMode="External"/><Relationship Id="rId8" Type="http://schemas.openxmlformats.org/officeDocument/2006/relationships/hyperlink" Target="https://assets.lcsc.com/images/lcsc/900x900/20181030_XKB-Connectivity-SS-12D28L5_C319007_front.jpg" TargetMode="External"/><Relationship Id="rId142" Type="http://schemas.openxmlformats.org/officeDocument/2006/relationships/hyperlink" Target="https://media.digikey.com/photos/Kingbright%20Photos/APHHS1005QBC%5ED.jpg" TargetMode="External"/><Relationship Id="rId184" Type="http://schemas.openxmlformats.org/officeDocument/2006/relationships/hyperlink" Target="https://www.st.com/resource/en/datasheet/lm258.pdf" TargetMode="External"/><Relationship Id="rId391" Type="http://schemas.openxmlformats.org/officeDocument/2006/relationships/hyperlink" Target="https://assets.lcsc.com/images/lcsc/900x900/20200703_Jing-Extension-of-the-Electronic-Co--920-E52A2021S10100_C10418_front.jpg" TargetMode="External"/><Relationship Id="rId405" Type="http://schemas.openxmlformats.org/officeDocument/2006/relationships/hyperlink" Target="https://www.espressif.com/sites/default/files/documentation/esp-wroom-02u_esp-wroom-02d_datasheet_en.pdf" TargetMode="External"/><Relationship Id="rId447" Type="http://schemas.openxmlformats.org/officeDocument/2006/relationships/hyperlink" Target="https://media-www.micron.com/-/media/client/global/documents/products/data-sheet/nor-flash/serial-nor/mt25q/die-rev-a/mt25q_qlhs_l_128_aba_0.pdf" TargetMode="External"/><Relationship Id="rId251" Type="http://schemas.openxmlformats.org/officeDocument/2006/relationships/hyperlink" Target="https://media.digikey.com/Renders/~~Pkg.Case%20or%20Series/20-DIP.jpg" TargetMode="External"/><Relationship Id="rId489" Type="http://schemas.openxmlformats.org/officeDocument/2006/relationships/hyperlink" Target="https://www.ti.com/lit/ds/symlink/tps61089.pdf" TargetMode="External"/><Relationship Id="rId46" Type="http://schemas.openxmlformats.org/officeDocument/2006/relationships/hyperlink" Target="https://www.jst-mfg.com/product/pdf/eng/ePH.pdf" TargetMode="External"/><Relationship Id="rId293" Type="http://schemas.openxmlformats.org/officeDocument/2006/relationships/hyperlink" Target="https://sensorkit.joy-it.net/en/sensors/ky-035" TargetMode="External"/><Relationship Id="rId307" Type="http://schemas.openxmlformats.org/officeDocument/2006/relationships/hyperlink" Target="https://sensorkit.joy-it.net/en/sensors/ky-040" TargetMode="External"/><Relationship Id="rId349" Type="http://schemas.openxmlformats.org/officeDocument/2006/relationships/hyperlink" Target="https://electropeak.com/learn/wp-content/uploads/2020/10/sen-04-001-teaser-768x576.jpg" TargetMode="External"/><Relationship Id="rId514" Type="http://schemas.openxmlformats.org/officeDocument/2006/relationships/hyperlink" Target="https://ww1.microchip.com/downloads/aemDocuments/documents/OTH/ProductDocuments/DataSheets/MIC9408x-67mOhm-RDSON-2A-High-Side-Load-Switch-DS20006118A.pdf" TargetMode="External"/><Relationship Id="rId556" Type="http://schemas.openxmlformats.org/officeDocument/2006/relationships/hyperlink" Target="https://www.vishay.com/docs/34104/ihlp-2525cz-01.pdf" TargetMode="External"/><Relationship Id="rId88" Type="http://schemas.openxmlformats.org/officeDocument/2006/relationships/hyperlink" Target="https://media.digikey.com/photos/JST%20Photos/PHR-2.jpg" TargetMode="External"/><Relationship Id="rId111" Type="http://schemas.openxmlformats.org/officeDocument/2006/relationships/hyperlink" Target="http://www.world-semi.com/DownLoadProFile/202" TargetMode="External"/><Relationship Id="rId153" Type="http://schemas.openxmlformats.org/officeDocument/2006/relationships/hyperlink" Target="https://assets.nexperia.com/documents/outline-3d/sot23_3d.png" TargetMode="External"/><Relationship Id="rId195" Type="http://schemas.openxmlformats.org/officeDocument/2006/relationships/hyperlink" Target="https://www.renesas.com/us/en/document/dst/ca3140-ca3140a-datasheet" TargetMode="External"/><Relationship Id="rId209" Type="http://schemas.openxmlformats.org/officeDocument/2006/relationships/hyperlink" Target="https://www.ti.com/lit/ds/symlink/tlc555.pdf" TargetMode="External"/><Relationship Id="rId360" Type="http://schemas.openxmlformats.org/officeDocument/2006/relationships/hyperlink" Target="https://sensorkit.joy-it.net/en/sensors/ky-018" TargetMode="External"/><Relationship Id="rId416" Type="http://schemas.openxmlformats.org/officeDocument/2006/relationships/hyperlink" Target="https://media.digikey.com/Renders/Texas%20Instr%20Renders/296~4040064-4~PW~16.JPG" TargetMode="External"/><Relationship Id="rId220" Type="http://schemas.openxmlformats.org/officeDocument/2006/relationships/hyperlink" Target="https://www.infineon.com/dgdl/Infineon-IR2110-DataSheet-v01_00-EN.pdf" TargetMode="External"/><Relationship Id="rId458" Type="http://schemas.openxmlformats.org/officeDocument/2006/relationships/hyperlink" Target="https://www.silabs.com/documents/public/data-sheets/cp2102n-datasheet.pdf" TargetMode="External"/><Relationship Id="rId15" Type="http://schemas.openxmlformats.org/officeDocument/2006/relationships/hyperlink" Target="https://datasheet.lcsc.com/lcsc/1912111437_SHOU-HAN-MSK12C02_C431540.pdf" TargetMode="External"/><Relationship Id="rId57" Type="http://schemas.openxmlformats.org/officeDocument/2006/relationships/hyperlink" Target="https://www.te.com/commerce/DocumentDelivery/DDEController?Action=srchrtrv&amp;DocNm=825433&amp;DocType=Customer+Drawing&amp;DocLang=English" TargetMode="External"/><Relationship Id="rId262" Type="http://schemas.openxmlformats.org/officeDocument/2006/relationships/hyperlink" Target="https://www.ti.com/content/dam/ticom/images/products/package/d/d0014a.png:large" TargetMode="External"/><Relationship Id="rId318" Type="http://schemas.openxmlformats.org/officeDocument/2006/relationships/hyperlink" Target="https://sensorkit.joy-it.net/en/sensors/ky-010" TargetMode="External"/><Relationship Id="rId525" Type="http://schemas.openxmlformats.org/officeDocument/2006/relationships/hyperlink" Target="https://media.digikey.com/Photos/Espressif%20Systems/MFG_ESP-WROOM-02.jpg" TargetMode="External"/><Relationship Id="rId567" Type="http://schemas.openxmlformats.org/officeDocument/2006/relationships/hyperlink" Target="https://assets.lcsc.com/images/lcsc/900x900/20230119_GLE-GCNR5040-6R8MC_C439377_front.jpg" TargetMode="External"/><Relationship Id="rId99" Type="http://schemas.openxmlformats.org/officeDocument/2006/relationships/hyperlink" Target="https://www.americanbrightled.com/pdffiles/led-components/smt/BL-HGE37A-TRB.pdf" TargetMode="External"/><Relationship Id="rId122" Type="http://schemas.openxmlformats.org/officeDocument/2006/relationships/hyperlink" Target="https://www.onsemi.cn/pdf/datasheet/esd9b-d.pdf" TargetMode="External"/><Relationship Id="rId164" Type="http://schemas.openxmlformats.org/officeDocument/2006/relationships/hyperlink" Target="https://assets.lcsc.com/images/lcsc/900x900/20180914_FMS-Formosa-Microsemi-MM3Z3V3CW_C216102_front.jpg" TargetMode="External"/><Relationship Id="rId371" Type="http://schemas.openxmlformats.org/officeDocument/2006/relationships/hyperlink" Target="https://www.diodes.com/assets/Datasheets/MMBT4403.pdf" TargetMode="External"/><Relationship Id="rId427" Type="http://schemas.openxmlformats.org/officeDocument/2006/relationships/hyperlink" Target="https://www.st.com/content/ccc/resource/technical/document/datasheet/f2/df/44/38/5a/84/4d/30/DM00109263.pdf/files/DM00109263.pdf/jcr:content/translations/en.DM00109263.pdf" TargetMode="External"/><Relationship Id="rId469" Type="http://schemas.openxmlformats.org/officeDocument/2006/relationships/hyperlink" Target="https://media.digikey.com/Photos/Espressif%20Systems/MFG_ESP32-WROOM-32U.jpg" TargetMode="External"/><Relationship Id="rId26" Type="http://schemas.openxmlformats.org/officeDocument/2006/relationships/hyperlink" Target="https://docs.arduino.cc/resources/datasheets/A000066-datasheet.pdf" TargetMode="External"/><Relationship Id="rId231" Type="http://schemas.openxmlformats.org/officeDocument/2006/relationships/hyperlink" Target="https://www.nteinc.com/specs/original/2N3904.pdf" TargetMode="External"/><Relationship Id="rId273" Type="http://schemas.openxmlformats.org/officeDocument/2006/relationships/hyperlink" Target="https://media.digikey.com/Photos/Rochester/MFG_TC254P.jpg.jpg" TargetMode="External"/><Relationship Id="rId329" Type="http://schemas.openxmlformats.org/officeDocument/2006/relationships/hyperlink" Target="https://sensorkit.joy-it.net/files/files/sensors/KY-038/KY-038.png" TargetMode="External"/><Relationship Id="rId480" Type="http://schemas.openxmlformats.org/officeDocument/2006/relationships/hyperlink" Target="https://media.digikey.com/Renders/~~Pkg.Case%20or%20Series/8-VDFN.jpg" TargetMode="External"/><Relationship Id="rId536" Type="http://schemas.openxmlformats.org/officeDocument/2006/relationships/hyperlink" Target="https://search.murata.co.jp/Ceramy/image/img/P02/J(E)TE243B-0037_DG6045C_reference.pdf" TargetMode="External"/><Relationship Id="rId68" Type="http://schemas.openxmlformats.org/officeDocument/2006/relationships/hyperlink" Target="https://media.digikey.com/Photos/Molex/73412-0110.jpg" TargetMode="External"/><Relationship Id="rId133" Type="http://schemas.openxmlformats.org/officeDocument/2006/relationships/hyperlink" Target="https://www.diodes.com/assets/Datasheets/B320BE-B345BE-B320CE-B345CE.pdf" TargetMode="External"/><Relationship Id="rId175" Type="http://schemas.openxmlformats.org/officeDocument/2006/relationships/hyperlink" Target="https://octopart.com/electronic-parts/integrated-circuits-ics" TargetMode="External"/><Relationship Id="rId340" Type="http://schemas.openxmlformats.org/officeDocument/2006/relationships/hyperlink" Target="https://sensorkit.joy-it.net/files/files/sensors/KY-011/KY-011.png" TargetMode="External"/><Relationship Id="rId578" Type="http://schemas.openxmlformats.org/officeDocument/2006/relationships/hyperlink" Target="https://media.digikey.com/Photos/Wurth%20Electronics%20Photos/7447480101.JPG" TargetMode="External"/><Relationship Id="rId200" Type="http://schemas.openxmlformats.org/officeDocument/2006/relationships/hyperlink" Target="https://ww1.microchip.com/downloads/aemDocuments/documents/MCU08/ProductDocuments/DataSheets/39582C.pdf" TargetMode="External"/><Relationship Id="rId382" Type="http://schemas.openxmlformats.org/officeDocument/2006/relationships/hyperlink" Target="https://media.digikey.com/Renders/Fairchild%20Semi%20Renders/261;MKT-MA04A;;3.jpg" TargetMode="External"/><Relationship Id="rId438" Type="http://schemas.openxmlformats.org/officeDocument/2006/relationships/hyperlink" Target="https://www.ti.com/content/dam/ticom/images/products/package/d/dbv0005a.png" TargetMode="External"/><Relationship Id="rId242" Type="http://schemas.openxmlformats.org/officeDocument/2006/relationships/hyperlink" Target="https://media.digikey.com/Photos/Texas%20Instr%20Photos/Mfg_296~4040049~N~14.jpg" TargetMode="External"/><Relationship Id="rId284" Type="http://schemas.openxmlformats.org/officeDocument/2006/relationships/hyperlink" Target="https://media.digikey.com/Photos/NTE-Electronics/MFG_2N3904.jpg" TargetMode="External"/><Relationship Id="rId491" Type="http://schemas.openxmlformats.org/officeDocument/2006/relationships/hyperlink" Target="https://fscdn.rohm.com/en/products/databook/datasheet/discrete/transistor/digital/umh3ntn-e.pdf" TargetMode="External"/><Relationship Id="rId505" Type="http://schemas.openxmlformats.org/officeDocument/2006/relationships/hyperlink" Target="https://assets.lcsc.com/images/lcsc/900x900/20230202_Espressif-Systems-ESP32-WROOM-32E-N4_C701341_front.jpg" TargetMode="External"/><Relationship Id="rId37" Type="http://schemas.openxmlformats.org/officeDocument/2006/relationships/hyperlink" Target="https://datasheet.lcsc.com/lcsc/2103051832_Jing-Extension-of-the-Electronic-Co--920-E52A2021S10100_C10418.pdf" TargetMode="External"/><Relationship Id="rId79" Type="http://schemas.openxmlformats.org/officeDocument/2006/relationships/hyperlink" Target="https://www.keyelco.com/assets/product_images/1060.jpg" TargetMode="External"/><Relationship Id="rId102" Type="http://schemas.openxmlformats.org/officeDocument/2006/relationships/hyperlink" Target="https://datasheet.lcsc.com/lcsc/1810191242_TOGIALED-TJ-S1005SW4TGLC6B-A5_C273603.pdf" TargetMode="External"/><Relationship Id="rId144" Type="http://schemas.openxmlformats.org/officeDocument/2006/relationships/hyperlink" Target="https://media.digikey.com/Photos/Sparkfun%20Elec%20%20Photos/MFG_COM-13667.jpg" TargetMode="External"/><Relationship Id="rId547" Type="http://schemas.openxmlformats.org/officeDocument/2006/relationships/hyperlink" Target="https://product.tdk.com/en/system/files?file=dam/doc/product/inductor/inductor/smd/catalog/inductor_commercial_power_slf10145_en.pdf" TargetMode="External"/><Relationship Id="rId589" Type="http://schemas.openxmlformats.org/officeDocument/2006/relationships/hyperlink" Target="https://media.digikey.com/Renders/Abracon%20Renders/ABS07%20Series.jpg" TargetMode="External"/><Relationship Id="rId90" Type="http://schemas.openxmlformats.org/officeDocument/2006/relationships/hyperlink" Target="https://datasheet.lcsc.com/lcsc/1810261120_JST-Sales-America-B13B-PH-K-S-LF-SN_C158026.pdf" TargetMode="External"/><Relationship Id="rId186" Type="http://schemas.openxmlformats.org/officeDocument/2006/relationships/hyperlink" Target="https://www.ti.com/lit/ds/symlink/ref02.pdf" TargetMode="External"/><Relationship Id="rId351" Type="http://schemas.openxmlformats.org/officeDocument/2006/relationships/hyperlink" Target="https://sensorkit.joy-it.net/files/files/sensors/KY-001/KY-001.png" TargetMode="External"/><Relationship Id="rId393" Type="http://schemas.openxmlformats.org/officeDocument/2006/relationships/hyperlink" Target="https://assets.lcsc.com/images/lcsc/900x900/20180914_Nextron-Nextronics-Engineering-Z-211-0611-0021-001_C190819_front.jpg" TargetMode="External"/><Relationship Id="rId407" Type="http://schemas.openxmlformats.org/officeDocument/2006/relationships/hyperlink" Target="https://datasheet4u.com/datasheet-pdf/ETC/XKT-412/pdf.php?id=1253033" TargetMode="External"/><Relationship Id="rId449" Type="http://schemas.openxmlformats.org/officeDocument/2006/relationships/hyperlink" Target="https://www.st.com/content/ccc/resource/technical/document/datasheet/5b/92/e8/f8/41/e5/43/59/CD00098098.pdf/files/CD00098098.pdf/jcr:content/translations/en.CD00098098.pdf" TargetMode="External"/><Relationship Id="rId211" Type="http://schemas.openxmlformats.org/officeDocument/2006/relationships/hyperlink" Target="https://www.renesas.com/us/en/document/dst/ca3130-ca3130a-datasheet" TargetMode="External"/><Relationship Id="rId253" Type="http://schemas.openxmlformats.org/officeDocument/2006/relationships/hyperlink" Target="https://media.digikey.com/Renders/~~Pkg.Case%20or%20Series/18-DIP.jpg" TargetMode="External"/><Relationship Id="rId295" Type="http://schemas.openxmlformats.org/officeDocument/2006/relationships/hyperlink" Target="https://sensorkit.joy-it.net/en/sensors/ky-025" TargetMode="External"/><Relationship Id="rId309" Type="http://schemas.openxmlformats.org/officeDocument/2006/relationships/hyperlink" Target="https://sensorkit.joy-it.net/en/sensors/ky-019" TargetMode="External"/><Relationship Id="rId460" Type="http://schemas.openxmlformats.org/officeDocument/2006/relationships/hyperlink" Target="https://www.analog.com/media/en/technical-documentation/data-sheets/ADM7172.pdf" TargetMode="External"/><Relationship Id="rId516" Type="http://schemas.openxmlformats.org/officeDocument/2006/relationships/hyperlink" Target="https://www.ti.com/lit/ds/symlink/tps54620.pdf" TargetMode="External"/><Relationship Id="rId48" Type="http://schemas.openxmlformats.org/officeDocument/2006/relationships/hyperlink" Target="https://cdn.amphenol-cs.com/media/wysiwyg/files/drawing/20021111.pdf" TargetMode="External"/><Relationship Id="rId113" Type="http://schemas.openxmlformats.org/officeDocument/2006/relationships/hyperlink" Target="https://www.diodes.com/assets/Datasheets/ds30497.pdf" TargetMode="External"/><Relationship Id="rId320" Type="http://schemas.openxmlformats.org/officeDocument/2006/relationships/hyperlink" Target="https://katodo.com/576-large_default/ads1115-4-channel-16-bit-adc-i2c-module-pga-programmable-gain-amplifier-arduino.jpg" TargetMode="External"/><Relationship Id="rId558" Type="http://schemas.openxmlformats.org/officeDocument/2006/relationships/hyperlink" Target="https://media.digikey.com/Renders/TDK%20Renders/MMZ0603xxxxCT000.jpg" TargetMode="External"/><Relationship Id="rId155" Type="http://schemas.openxmlformats.org/officeDocument/2006/relationships/hyperlink" Target="https://media.digikey.com/Renders/Diodes%20Renders/DO-214AA_SMB.jpg" TargetMode="External"/><Relationship Id="rId197" Type="http://schemas.openxmlformats.org/officeDocument/2006/relationships/hyperlink" Target="https://www.analog.com/media/en/technical-documentation/data-sheets/ds1307.pdf" TargetMode="External"/><Relationship Id="rId362" Type="http://schemas.openxmlformats.org/officeDocument/2006/relationships/hyperlink" Target="https://ww1.microchip.com/downloads/aemDocuments/documents/MPD/ProductDocuments/DataSheets/AT24C256C-I%C2%B2C-Compatible-%28Two-Wire%29-Serial-EEPROM-256-Kbit-%2832%2C768x8%29-Data-Sheet-DS20006042.pdf" TargetMode="External"/><Relationship Id="rId418" Type="http://schemas.openxmlformats.org/officeDocument/2006/relationships/hyperlink" Target="https://www.ti.com/lit/ds/symlink/lmv321-n.pdf" TargetMode="External"/><Relationship Id="rId222" Type="http://schemas.openxmlformats.org/officeDocument/2006/relationships/hyperlink" Target="https://www.onsemi.com/pdf/datasheet/ka3525a-d.pdf" TargetMode="External"/><Relationship Id="rId264" Type="http://schemas.openxmlformats.org/officeDocument/2006/relationships/hyperlink" Target="https://media.digikey.com/Renders/~~Pkg.Case%20or%20Series/14PDIP.jpg" TargetMode="External"/><Relationship Id="rId471" Type="http://schemas.openxmlformats.org/officeDocument/2006/relationships/hyperlink" Target="https://www.ti.com/lit/ds/symlink/lm358.pdf" TargetMode="External"/><Relationship Id="rId17" Type="http://schemas.openxmlformats.org/officeDocument/2006/relationships/hyperlink" Target="https://eu.mouser.com/datasheet/2/57/A_Rocker_Switch-1600891.pdf" TargetMode="External"/><Relationship Id="rId59" Type="http://schemas.openxmlformats.org/officeDocument/2006/relationships/hyperlink" Target="https://gct.co/files/specs/usb3070-spec.pdf" TargetMode="External"/><Relationship Id="rId124" Type="http://schemas.openxmlformats.org/officeDocument/2006/relationships/hyperlink" Target="https://www.onsemi.com/pdf/datasheet/mbr120esft1-d.pdf" TargetMode="External"/><Relationship Id="rId527" Type="http://schemas.openxmlformats.org/officeDocument/2006/relationships/hyperlink" Target="https://eu.mouser.com/images/quectel/images/UC200T_series_DSL.jpg" TargetMode="External"/><Relationship Id="rId569" Type="http://schemas.openxmlformats.org/officeDocument/2006/relationships/hyperlink" Target="https://assets.lcsc.com/images/lcsc/900x900/20230110_YJYCOIN-YNR6028-1R5N_C341052_front.jpg" TargetMode="External"/><Relationship Id="rId70" Type="http://schemas.openxmlformats.org/officeDocument/2006/relationships/hyperlink" Target="https://media.digikey.com/Photos/Amphenol%20Photos/10118192-0001LF.jpg" TargetMode="External"/><Relationship Id="rId166" Type="http://schemas.openxmlformats.org/officeDocument/2006/relationships/hyperlink" Target="https://media.digikey.com/Renders/Diodes%20Renders/DO-214AA_SMB.jpg" TargetMode="External"/><Relationship Id="rId331" Type="http://schemas.openxmlformats.org/officeDocument/2006/relationships/hyperlink" Target="https://sensorkit.joy-it.net/files/files/sensors/KY-025/KY-025.png" TargetMode="External"/><Relationship Id="rId373" Type="http://schemas.openxmlformats.org/officeDocument/2006/relationships/hyperlink" Target="https://datasheet.lcsc.com/lcsc/2008191935_VBsemi-Elec-QM3001K-VB_C725140.pdf" TargetMode="External"/><Relationship Id="rId429" Type="http://schemas.openxmlformats.org/officeDocument/2006/relationships/hyperlink" Target="https://www.ti.com/lit/ds/symlink/bq21040.pdf" TargetMode="External"/><Relationship Id="rId580" Type="http://schemas.openxmlformats.org/officeDocument/2006/relationships/hyperlink" Target="https://media.digikey.com/Photos/TDK%20Photos/MFG_VLCF5020.jpg" TargetMode="External"/><Relationship Id="rId1" Type="http://schemas.openxmlformats.org/officeDocument/2006/relationships/hyperlink" Target="https://media.digikey.com/photos/Omron%20Elect%20Photos/B3U-1000P.JPG" TargetMode="External"/><Relationship Id="rId233" Type="http://schemas.openxmlformats.org/officeDocument/2006/relationships/hyperlink" Target="https://www.alldatasheet.com/datasheet-pdf/pdf/83743/ETC/C8550.html" TargetMode="External"/><Relationship Id="rId440" Type="http://schemas.openxmlformats.org/officeDocument/2006/relationships/hyperlink" Target="https://media.digikey.com/Renders/Diodes%20Renders/31~SOT223~E,-G,-H~4.jpg" TargetMode="External"/><Relationship Id="rId28" Type="http://schemas.openxmlformats.org/officeDocument/2006/relationships/hyperlink" Target="https://cdn.shopify.com/s/files/1/0438/4735/2471/products/A000066_03.front_643x483.jpg" TargetMode="External"/><Relationship Id="rId275" Type="http://schemas.openxmlformats.org/officeDocument/2006/relationships/hyperlink" Target="https://media.digikey.com/Renders/~~Pkg.Case%20or%20Series/14PDIP.jpg" TargetMode="External"/><Relationship Id="rId300" Type="http://schemas.openxmlformats.org/officeDocument/2006/relationships/hyperlink" Target="https://sensorkit.joy-it.net/en/sensors/ky-031" TargetMode="External"/><Relationship Id="rId482" Type="http://schemas.openxmlformats.org/officeDocument/2006/relationships/hyperlink" Target="https://media.digikey.com/Photos/Espressif%20Systems/MFG_ESP32-WROOM-32D.jpg" TargetMode="External"/><Relationship Id="rId538" Type="http://schemas.openxmlformats.org/officeDocument/2006/relationships/hyperlink" Target="https://search.murata.co.jp/Ceramy/image/img/P02/JELF243A-0122.pdf" TargetMode="External"/><Relationship Id="rId81" Type="http://schemas.openxmlformats.org/officeDocument/2006/relationships/hyperlink" Target="http://www.szjiln.com/upload/portal/20220401/202204011132263743.png" TargetMode="External"/><Relationship Id="rId135" Type="http://schemas.openxmlformats.org/officeDocument/2006/relationships/hyperlink" Target="https://media.digikey.com/photos/Lite%20On%20Photos/LTST-C150TBKT,LTST-C150KAKT,LTST-C150KGKT.jpg" TargetMode="External"/><Relationship Id="rId177" Type="http://schemas.openxmlformats.org/officeDocument/2006/relationships/hyperlink" Target="https://octopart.com/electronic-parts/integrated-circuits-ics" TargetMode="External"/><Relationship Id="rId342" Type="http://schemas.openxmlformats.org/officeDocument/2006/relationships/hyperlink" Target="https://sensorkit.joy-it.net/files/files/sensors/KY-040/KY-040.png" TargetMode="External"/><Relationship Id="rId384" Type="http://schemas.openxmlformats.org/officeDocument/2006/relationships/hyperlink" Target="https://media.digikey.com/Renders/Diodes%20Renders/31~SOT23-3~F,N,SA~3.JPG" TargetMode="External"/><Relationship Id="rId591" Type="http://schemas.openxmlformats.org/officeDocument/2006/relationships/hyperlink" Target="https://media.digikey.com/Photos/Citizen%20Amer%20Photos/CM200C-32.768KDZB-UT.jpg" TargetMode="External"/><Relationship Id="rId202" Type="http://schemas.openxmlformats.org/officeDocument/2006/relationships/hyperlink" Target="https://optoelectronics.liteon.com/upload/download/DS-70-99-0012/4N3X%20Series%201115.PDF" TargetMode="External"/><Relationship Id="rId244" Type="http://schemas.openxmlformats.org/officeDocument/2006/relationships/hyperlink" Target="https://media.digikey.com/Photos/Texas%20Instr%20Photos/Mfg_296~4040049~N~14.jpg" TargetMode="External"/><Relationship Id="rId39" Type="http://schemas.openxmlformats.org/officeDocument/2006/relationships/hyperlink" Target="https://datasheet.lcsc.com/lcsc/1810251313_BOOMELE-Boom-Precision-Elec-NANO-SIM-6PIN_C77877.pdf" TargetMode="External"/><Relationship Id="rId286" Type="http://schemas.openxmlformats.org/officeDocument/2006/relationships/hyperlink" Target="https://media.digikey.com/Renders/Microchip%20Tech%20Renders/150;C04-070;%20SP,PJ;28.jpg" TargetMode="External"/><Relationship Id="rId451" Type="http://schemas.openxmlformats.org/officeDocument/2006/relationships/hyperlink" Target="https://ww1.microchip.com/downloads/en/DeviceDoc/MIC5317-High-Performance-Single-150mA-LDO-DS20006195B.pdf" TargetMode="External"/><Relationship Id="rId493" Type="http://schemas.openxmlformats.org/officeDocument/2006/relationships/hyperlink" Target="https://www.ti.com/lit/ds/symlink/bq24092.pdf" TargetMode="External"/><Relationship Id="rId507" Type="http://schemas.openxmlformats.org/officeDocument/2006/relationships/hyperlink" Target="https://www.microchip.com/content/dam/mchp/mrt-dam/ic-images/sot-23/5-lead-6bx/MIC2004-6BX-Regular.jpg" TargetMode="External"/><Relationship Id="rId549" Type="http://schemas.openxmlformats.org/officeDocument/2006/relationships/hyperlink" Target="https://datasheet.lcsc.com/lcsc/1811091231_BC-Bao-Cheng-Elec-BCIHP0735-4R7M_C237931.pdf" TargetMode="External"/><Relationship Id="rId50" Type="http://schemas.openxmlformats.org/officeDocument/2006/relationships/hyperlink" Target="https://www.keyelco.com/product-pdf.cfm?p=3936" TargetMode="External"/><Relationship Id="rId104" Type="http://schemas.openxmlformats.org/officeDocument/2006/relationships/hyperlink" Target="https://media.digikey.com/pdf/Data%20Sheets/Bivar%20Inc%20PDFs/SM4014_Series.pdf" TargetMode="External"/><Relationship Id="rId146" Type="http://schemas.openxmlformats.org/officeDocument/2006/relationships/hyperlink" Target="https://assets.lcsc.com/images/lcsc/900x900/20180914_Everlight-Elec-19-21SYGC-S530-E2-TR8_C136120_front.jpg" TargetMode="External"/><Relationship Id="rId188" Type="http://schemas.openxmlformats.org/officeDocument/2006/relationships/hyperlink" Target="https://www.ti.com/lit/ds/symlink/lm324.pdf" TargetMode="External"/><Relationship Id="rId311" Type="http://schemas.openxmlformats.org/officeDocument/2006/relationships/hyperlink" Target="https://sensorkit.joy-it.net/en/sensors/ky-024" TargetMode="External"/><Relationship Id="rId353" Type="http://schemas.openxmlformats.org/officeDocument/2006/relationships/hyperlink" Target="https://sensorkit.joy-it.net/files/files/sensors/KY-009/KY-009.png" TargetMode="External"/><Relationship Id="rId395" Type="http://schemas.openxmlformats.org/officeDocument/2006/relationships/hyperlink" Target="https://assets.lcsc.com/images/lcsc/900x900/20200708_Ningbo-Kangnex-Elec-WJ301V-5-0-3P_C8483_front.jpg" TargetMode="External"/><Relationship Id="rId409" Type="http://schemas.openxmlformats.org/officeDocument/2006/relationships/hyperlink" Target="https://www.ti.com/lit/ds/symlink/tps563201.pdf" TargetMode="External"/><Relationship Id="rId560" Type="http://schemas.openxmlformats.org/officeDocument/2006/relationships/hyperlink" Target="https://www.tai-tech.com.tw/_upload/images/1704281047570.png" TargetMode="External"/><Relationship Id="rId92" Type="http://schemas.openxmlformats.org/officeDocument/2006/relationships/hyperlink" Target="https://assets.lcsc.com/images/lcsc/900x900/20180914_JST-Sales-America-B13B-PH-K-S-LF-SN_C158026_front.jpg" TargetMode="External"/><Relationship Id="rId213" Type="http://schemas.openxmlformats.org/officeDocument/2006/relationships/hyperlink" Target="https://ww1.microchip.com/downloads/aemDocuments/documents/MSLD/ProductDocuments/DataSheets/MCP6001-1R-1U-2-4-1-MHz-Low-Power-Op-Amp-DS20001733L.pdf" TargetMode="External"/><Relationship Id="rId420" Type="http://schemas.openxmlformats.org/officeDocument/2006/relationships/hyperlink" Target="https://www.diodes.com/assets/Datasheets/AP2112.pdf" TargetMode="External"/><Relationship Id="rId255" Type="http://schemas.openxmlformats.org/officeDocument/2006/relationships/hyperlink" Target="https://media.digikey.com/Photos/Isocom/8-DIP.jpg" TargetMode="External"/><Relationship Id="rId297" Type="http://schemas.openxmlformats.org/officeDocument/2006/relationships/hyperlink" Target="https://sensorkit.joy-it.net/en/sensors/ky-013" TargetMode="External"/><Relationship Id="rId462" Type="http://schemas.openxmlformats.org/officeDocument/2006/relationships/hyperlink" Target="https://www.ti.com/lit/ds/symlink/cd74hct04.pdf" TargetMode="External"/><Relationship Id="rId518" Type="http://schemas.openxmlformats.org/officeDocument/2006/relationships/hyperlink" Target="https://media.digikey.com/pdf/Data%20Sheets/NEC%20PDFs/PS2801C-1,PS2801C-4.pdf" TargetMode="External"/><Relationship Id="rId115" Type="http://schemas.openxmlformats.org/officeDocument/2006/relationships/hyperlink" Target="https://assets.nexperia.com/documents/data-sheet/BAL74.pdf" TargetMode="External"/><Relationship Id="rId157" Type="http://schemas.openxmlformats.org/officeDocument/2006/relationships/hyperlink" Target="https://media.digikey.com/photos/On%20Semi%20Photos/POWERMITE.jpg" TargetMode="External"/><Relationship Id="rId322" Type="http://schemas.openxmlformats.org/officeDocument/2006/relationships/hyperlink" Target="https://sensorkit.joy-it.net/en/sensors/ky-039" TargetMode="External"/><Relationship Id="rId364" Type="http://schemas.openxmlformats.org/officeDocument/2006/relationships/hyperlink" Target="https://www.onsemi.com/pdf/datasheet/bss138lt1-d.pdf" TargetMode="External"/><Relationship Id="rId61" Type="http://schemas.openxmlformats.org/officeDocument/2006/relationships/hyperlink" Target="https://datasheet.lcsc.com/lcsc/1912251632_Ningbo-Kangnex-Elec-WJ126V-5-0-6P_C8379.pdf" TargetMode="External"/><Relationship Id="rId199" Type="http://schemas.openxmlformats.org/officeDocument/2006/relationships/hyperlink" Target="https://ww1.microchip.com/downloads/aemDocuments/documents/OTH/ProductDocuments/DataSheets/8246S.pdf" TargetMode="External"/><Relationship Id="rId571" Type="http://schemas.openxmlformats.org/officeDocument/2006/relationships/hyperlink" Target="https://media.digikey.com/photos/Coiltronics%20Photos/HCM0703-SERIES.jpg" TargetMode="External"/><Relationship Id="rId19" Type="http://schemas.openxmlformats.org/officeDocument/2006/relationships/hyperlink" Target="https://eu.mouser.com/datasheet/2/96/218-1144897.pdf" TargetMode="External"/><Relationship Id="rId224" Type="http://schemas.openxmlformats.org/officeDocument/2006/relationships/hyperlink" Target="https://www.ti.com/lit/ds/symlink/sn74ls32.pdf" TargetMode="External"/><Relationship Id="rId266" Type="http://schemas.openxmlformats.org/officeDocument/2006/relationships/hyperlink" Target="https://media.digikey.com/Renders/~~Pkg.Case%20or%20Series/DIP16_SOT38-1%20Pkg.jpg" TargetMode="External"/><Relationship Id="rId431" Type="http://schemas.openxmlformats.org/officeDocument/2006/relationships/hyperlink" Target="https://www.diodes.com/assets/Datasheets/TLV431.pdf" TargetMode="External"/><Relationship Id="rId473" Type="http://schemas.openxmlformats.org/officeDocument/2006/relationships/hyperlink" Target="https://www.ti.com/lit/ds/symlink/opa350.pdf" TargetMode="External"/><Relationship Id="rId529" Type="http://schemas.openxmlformats.org/officeDocument/2006/relationships/hyperlink" Target="https://cdn3.vectorstock.com/i/1000x1000/37/07/not-available-sign-or-stamp-vector-22523707.jpg" TargetMode="External"/><Relationship Id="rId30" Type="http://schemas.openxmlformats.org/officeDocument/2006/relationships/hyperlink" Target="https://www.jst-mfg.com/product/pdf/eng/eXH.pdf" TargetMode="External"/><Relationship Id="rId126" Type="http://schemas.openxmlformats.org/officeDocument/2006/relationships/hyperlink" Target="https://assets.nexperia.com/documents/data-sheet/PMEG6010ER.pdf" TargetMode="External"/><Relationship Id="rId168" Type="http://schemas.openxmlformats.org/officeDocument/2006/relationships/hyperlink" Target="https://media.digikey.com/Renders/Diodes%20Renders/31;%20SOD-123;%20;%202.jpg" TargetMode="External"/><Relationship Id="rId333" Type="http://schemas.openxmlformats.org/officeDocument/2006/relationships/hyperlink" Target="https://sensorkit.joy-it.net/files/files/sensors/KY-013/KY-013.png" TargetMode="External"/><Relationship Id="rId540" Type="http://schemas.openxmlformats.org/officeDocument/2006/relationships/hyperlink" Target="https://search.murata.co.jp/Ceramy/image/img/P02/JELF243A-0050.pdf" TargetMode="External"/><Relationship Id="rId72" Type="http://schemas.openxmlformats.org/officeDocument/2006/relationships/hyperlink" Target="https://media.digikey.com/Photos/Wurth%20Electronics%20Photos/MFG_693043020611.jpg" TargetMode="External"/><Relationship Id="rId375" Type="http://schemas.openxmlformats.org/officeDocument/2006/relationships/hyperlink" Target="https://www.diodes.com/assets/Datasheets/ZVN3310F.pdf" TargetMode="External"/><Relationship Id="rId582" Type="http://schemas.openxmlformats.org/officeDocument/2006/relationships/hyperlink" Target="https://media.digikey.com/Photos/Vishay%20Dale%20Photos/MFG_IHLP-2525CZ-01-Series.jpg" TargetMode="External"/><Relationship Id="rId3" Type="http://schemas.openxmlformats.org/officeDocument/2006/relationships/hyperlink" Target="https://assets.lcsc.com/images/lcsc/900x900/20230204_SHOU-HAN-MSK12C02_C431540_front.jpg" TargetMode="External"/><Relationship Id="rId235" Type="http://schemas.openxmlformats.org/officeDocument/2006/relationships/hyperlink" Target="https://media.digikey.com/Renders/~~Pkg.Case%20or%20Series/8-DIP.jpg" TargetMode="External"/><Relationship Id="rId277" Type="http://schemas.openxmlformats.org/officeDocument/2006/relationships/hyperlink" Target="https://media.digikey.com/Renders/Microchip%20Tech%20Renders/150;C04-070;%20SP,PJ;28.jpg" TargetMode="External"/><Relationship Id="rId400" Type="http://schemas.openxmlformats.org/officeDocument/2006/relationships/hyperlink" Target="https://media.digikey.com/Renders/Texas%20Instr%20Renders/8-SOIC.jpg" TargetMode="External"/><Relationship Id="rId442" Type="http://schemas.openxmlformats.org/officeDocument/2006/relationships/hyperlink" Target="https://media.digikey.com/Renders/STMicro%20Renders/SOT-223.jpg" TargetMode="External"/><Relationship Id="rId484" Type="http://schemas.openxmlformats.org/officeDocument/2006/relationships/hyperlink" Target="https://www.ti.com/lit/ds/symlink/lmz10503.pdf" TargetMode="External"/><Relationship Id="rId137" Type="http://schemas.openxmlformats.org/officeDocument/2006/relationships/hyperlink" Target="https://assets.lcsc.com/images/lcsc/900x900/20180929_Everlight-Elec-19-21-BHC-AN1P2-3T_C282129_front.jpg" TargetMode="External"/><Relationship Id="rId302" Type="http://schemas.openxmlformats.org/officeDocument/2006/relationships/hyperlink" Target="https://electrosome.com/interfacing-mercury-tilt-switch-arduino-uno/" TargetMode="External"/><Relationship Id="rId344" Type="http://schemas.openxmlformats.org/officeDocument/2006/relationships/hyperlink" Target="https://sensorkit.joy-it.net/files/files/sensors/KY-019/KY-019.png" TargetMode="External"/><Relationship Id="rId41" Type="http://schemas.openxmlformats.org/officeDocument/2006/relationships/hyperlink" Target="https://www.we-online.com/components/products/datasheet/693043020611.pdf" TargetMode="External"/><Relationship Id="rId83" Type="http://schemas.openxmlformats.org/officeDocument/2006/relationships/hyperlink" Target="https://media.digikey.com/Renders/TE%20Connectivity/Breakaway-Vert-3-Gold-Pins-Green.jpg" TargetMode="External"/><Relationship Id="rId179" Type="http://schemas.openxmlformats.org/officeDocument/2006/relationships/hyperlink" Target="https://octopart.com/electronic-parts/integrated-circuits-ics" TargetMode="External"/><Relationship Id="rId386" Type="http://schemas.openxmlformats.org/officeDocument/2006/relationships/hyperlink" Target="https://assets.lcsc.com/images/lcsc/900x900/20230201_VBsemi-Elec-QM3001K-VB_C725140_front.jpg" TargetMode="External"/><Relationship Id="rId551" Type="http://schemas.openxmlformats.org/officeDocument/2006/relationships/hyperlink" Target="https://datasheet.lcsc.com/lcsc/2105281740_MINGSTAR-RL0810N-40-57-101M_C2832106.pdf" TargetMode="External"/><Relationship Id="rId593" Type="http://schemas.openxmlformats.org/officeDocument/2006/relationships/hyperlink" Target="https://image.seapx.com/mall/yangxin/1/20221018/FC-12M-273507.jpg" TargetMode="External"/><Relationship Id="rId190" Type="http://schemas.openxmlformats.org/officeDocument/2006/relationships/hyperlink" Target="https://www.onsemi.com/download/data-sheet/pdf/mc14029b-d.pdf" TargetMode="External"/><Relationship Id="rId204" Type="http://schemas.openxmlformats.org/officeDocument/2006/relationships/hyperlink" Target="https://www.ti.com/lit/ds/symlink/lm318.pdf" TargetMode="External"/><Relationship Id="rId246" Type="http://schemas.openxmlformats.org/officeDocument/2006/relationships/hyperlink" Target="https://media.digikey.com/Renders/~~Pkg.Case%20or%20Series/DIP16_SOT38-1%20Pkg.jpg" TargetMode="External"/><Relationship Id="rId288" Type="http://schemas.openxmlformats.org/officeDocument/2006/relationships/hyperlink" Target="https://sensorkit.joy-it.net/en/sensors/ky-032" TargetMode="External"/><Relationship Id="rId411" Type="http://schemas.openxmlformats.org/officeDocument/2006/relationships/hyperlink" Target="http://ww1.microchip.com/downloads/en/DeviceDoc/ATtiny1614-16-17-DataSheet-DS40002204A.pdf" TargetMode="External"/><Relationship Id="rId453" Type="http://schemas.openxmlformats.org/officeDocument/2006/relationships/hyperlink" Target="https://www.littelfuse.com/~/media/electronics/datasheets/tvs_diode_arrays/littelfuse_tvs_diode_array_sp05_datasheet.pdf.pdf" TargetMode="External"/><Relationship Id="rId509" Type="http://schemas.openxmlformats.org/officeDocument/2006/relationships/hyperlink" Target="https://media.digikey.com/Renders/Maxim%20Renders/175;21-0147;LT;6.jpg" TargetMode="External"/><Relationship Id="rId106" Type="http://schemas.openxmlformats.org/officeDocument/2006/relationships/hyperlink" Target="https://media.digikey.com/pdf/Data%20Sheets/Lite-On%20PDFs/LTST-C193TBKT-5A.pdf" TargetMode="External"/><Relationship Id="rId313" Type="http://schemas.openxmlformats.org/officeDocument/2006/relationships/hyperlink" Target="https://sensorkit.joy-it.net/en/sensors/ky-016" TargetMode="External"/><Relationship Id="rId495" Type="http://schemas.openxmlformats.org/officeDocument/2006/relationships/hyperlink" Target="https://www.espressif.com/sites/default/files/documentation/esp32-pico-d4_datasheet_en.pdf" TargetMode="External"/><Relationship Id="rId10" Type="http://schemas.openxmlformats.org/officeDocument/2006/relationships/hyperlink" Target="https://assets.lcsc.com/images/lcsc/900x900/20190328_XKB-Connectivity-SS-3235D-03-L2_C381097_front.jpg" TargetMode="External"/><Relationship Id="rId52" Type="http://schemas.openxmlformats.org/officeDocument/2006/relationships/hyperlink" Target="https://datasheet.lcsc.com/lcsc/2208041700_XKB-Connectivity-DC-005-5A-2-5-SMT_C319133.pdf" TargetMode="External"/><Relationship Id="rId94" Type="http://schemas.openxmlformats.org/officeDocument/2006/relationships/hyperlink" Target="https://assets.lcsc.com/images/lcsc/900x900/20230110_JUSHUO-AFC01-S40FCA-00_C262674_front.jpg" TargetMode="External"/><Relationship Id="rId148" Type="http://schemas.openxmlformats.org/officeDocument/2006/relationships/hyperlink" Target="https://assets.lcsc.com/images/lcsc/900x900/20230103_TOGIALED-TJ-S1608SW6TGLC2G-A5_C192316_front.jpg" TargetMode="External"/><Relationship Id="rId355" Type="http://schemas.openxmlformats.org/officeDocument/2006/relationships/hyperlink" Target="https://sensorkit.joy-it.net/files/files/sensors/KY-037/KY-037.png" TargetMode="External"/><Relationship Id="rId397" Type="http://schemas.openxmlformats.org/officeDocument/2006/relationships/hyperlink" Target="https://assets.lcsc.com/images/lcsc/900x900/20180926_JST-Sales-America-S4B-PH-KL-LF-SN_C160235_front.jpg" TargetMode="External"/><Relationship Id="rId520" Type="http://schemas.openxmlformats.org/officeDocument/2006/relationships/hyperlink" Target="https://datasheets.kyocera-avx.com/F93.pdf" TargetMode="External"/><Relationship Id="rId562" Type="http://schemas.openxmlformats.org/officeDocument/2006/relationships/hyperlink" Target="https://media.digikey.com/Photos/Murata%20Photos/MFG_DG6045C,DG6050C.JPG" TargetMode="External"/><Relationship Id="rId215" Type="http://schemas.openxmlformats.org/officeDocument/2006/relationships/hyperlink" Target="https://www.ti.com/lit/ds/symlink/sn74hc245.pdf" TargetMode="External"/><Relationship Id="rId257" Type="http://schemas.openxmlformats.org/officeDocument/2006/relationships/hyperlink" Target="https://eu.mouser.com/images/texasinstruments/images/ITP_TI_PDIP-16_N_t.jpg" TargetMode="External"/><Relationship Id="rId422" Type="http://schemas.openxmlformats.org/officeDocument/2006/relationships/hyperlink" Target="https://www.ti.com/lit/ds/symlink/tl431.pdf" TargetMode="External"/><Relationship Id="rId464" Type="http://schemas.openxmlformats.org/officeDocument/2006/relationships/hyperlink" Target="https://ww1.microchip.com/downloads/en/DeviceDoc/SAM-D21-DA1-Family-Data-Sheet-DS40001882H.pdf" TargetMode="External"/><Relationship Id="rId299" Type="http://schemas.openxmlformats.org/officeDocument/2006/relationships/hyperlink" Target="https://sensorkit.joy-it.net/en/sensors/ky-020" TargetMode="External"/><Relationship Id="rId63" Type="http://schemas.openxmlformats.org/officeDocument/2006/relationships/hyperlink" Target="https://uk.farnell.com/productimages/standard/en_GB/9492429-40.jpg" TargetMode="External"/><Relationship Id="rId159" Type="http://schemas.openxmlformats.org/officeDocument/2006/relationships/hyperlink" Target="https://www.vishay.com/images/product-images/pt-large/88751-pt-large.jpg" TargetMode="External"/><Relationship Id="rId366" Type="http://schemas.openxmlformats.org/officeDocument/2006/relationships/hyperlink" Target="https://assets.nexperia.com/documents/data-sheet/PDTC114E_SER.pdf" TargetMode="External"/><Relationship Id="rId573" Type="http://schemas.openxmlformats.org/officeDocument/2006/relationships/hyperlink" Target="https://media.digikey.com/photos/TDK%20Photos/SLF10145%20SERIES.jpg" TargetMode="External"/><Relationship Id="rId226" Type="http://schemas.openxmlformats.org/officeDocument/2006/relationships/hyperlink" Target="https://www.st.com/resource/en/datasheet/l293d.pdf" TargetMode="External"/><Relationship Id="rId433" Type="http://schemas.openxmlformats.org/officeDocument/2006/relationships/hyperlink" Target="http://www.axelite.com.tw/Doc/BinaryData.aspx?id=3d4c1a9a-8439-4ec4-9229-d7ddaa5b23fa" TargetMode="External"/><Relationship Id="rId74" Type="http://schemas.openxmlformats.org/officeDocument/2006/relationships/hyperlink" Target="https://media.digikey.com/photos/Molex/MFG_5050200692.jpg" TargetMode="External"/><Relationship Id="rId377" Type="http://schemas.openxmlformats.org/officeDocument/2006/relationships/hyperlink" Target="https://media.digikey.com/Renders/On%20Semi%20Renders/SOT-23-3_527AG.jpg" TargetMode="External"/><Relationship Id="rId500" Type="http://schemas.openxmlformats.org/officeDocument/2006/relationships/hyperlink" Target="https://assets.lcsc.com/images/lcsc/900x900/20221231_Analog-Devices-LT3652EDD-PBF_C96510_front.jpg" TargetMode="External"/><Relationship Id="rId584" Type="http://schemas.openxmlformats.org/officeDocument/2006/relationships/hyperlink" Target="http://www.txccorp.com/download/products/quartz_crystals/2015TXC_7B_19.pdf" TargetMode="External"/><Relationship Id="rId5" Type="http://schemas.openxmlformats.org/officeDocument/2006/relationships/hyperlink" Target="https://eu.mouser.com/images/bulgin/images/8500_rocker_DSL.jpg" TargetMode="External"/><Relationship Id="rId237" Type="http://schemas.openxmlformats.org/officeDocument/2006/relationships/hyperlink" Target="https://www.ti.com/graphics/folders/partimages/REF02.jpg" TargetMode="External"/><Relationship Id="rId444" Type="http://schemas.openxmlformats.org/officeDocument/2006/relationships/hyperlink" Target="https://media.digikey.com/Renders/STMicro%20Renders/497~8SOIC-3.9~~8.jpg" TargetMode="External"/><Relationship Id="rId290" Type="http://schemas.openxmlformats.org/officeDocument/2006/relationships/hyperlink" Target="https://sensorkit.joy-it.net/en/sensors/ky-026" TargetMode="External"/><Relationship Id="rId304" Type="http://schemas.openxmlformats.org/officeDocument/2006/relationships/hyperlink" Target="https://sensorkit.joy-it.net/en/sensors/ky-012" TargetMode="External"/><Relationship Id="rId388" Type="http://schemas.openxmlformats.org/officeDocument/2006/relationships/hyperlink" Target="https://media.digikey.com/Renders/Diodes%20Renders/31~SOT23-3~F,N,SA~3.JPG" TargetMode="External"/><Relationship Id="rId511" Type="http://schemas.openxmlformats.org/officeDocument/2006/relationships/hyperlink" Target="https://media.digikey.com/Renders/Texas%20Instr%20Renders/296~4073253-4~DBV~5.JPG" TargetMode="External"/><Relationship Id="rId85" Type="http://schemas.openxmlformats.org/officeDocument/2006/relationships/hyperlink" Target="https://media.digikey.com/Photos/GCT/MFG_USB3070-30-A.jpg" TargetMode="External"/><Relationship Id="rId150" Type="http://schemas.openxmlformats.org/officeDocument/2006/relationships/hyperlink" Target="http://www.world-semi.com/upload/productimg/201812011241570.jpg" TargetMode="External"/><Relationship Id="rId595" Type="http://schemas.openxmlformats.org/officeDocument/2006/relationships/printerSettings" Target="../printerSettings/printerSettings1.bin"/><Relationship Id="rId248" Type="http://schemas.openxmlformats.org/officeDocument/2006/relationships/hyperlink" Target="https://media.digikey.com/Renders/~~Pkg.Case%20or%20Series/24-Dip.jpg" TargetMode="External"/><Relationship Id="rId455" Type="http://schemas.openxmlformats.org/officeDocument/2006/relationships/hyperlink" Target="https://www.espressif.com/sites/default/files/documentation/esp32_datasheet_en.pdf" TargetMode="External"/><Relationship Id="rId12" Type="http://schemas.openxmlformats.org/officeDocument/2006/relationships/hyperlink" Target="https://eu.mouser.com/images/cuiinc/images/DS02-254-02_SPL.jpg" TargetMode="External"/><Relationship Id="rId108" Type="http://schemas.openxmlformats.org/officeDocument/2006/relationships/hyperlink" Target="https://optoelectronics.liteon.com/upload/download/DS22-2000-223/LTST-C191KRKT.PDF" TargetMode="External"/><Relationship Id="rId315" Type="http://schemas.openxmlformats.org/officeDocument/2006/relationships/hyperlink" Target="https://sensorkit.joy-it.net/en/sensors/ky-004" TargetMode="External"/><Relationship Id="rId522" Type="http://schemas.openxmlformats.org/officeDocument/2006/relationships/hyperlink" Target="https://media.digikey.com/pdf/Data%20Sheets/Microchip%20PDFs/RN42_RN42N.pdf" TargetMode="External"/><Relationship Id="rId96" Type="http://schemas.openxmlformats.org/officeDocument/2006/relationships/hyperlink" Target="https://optoelectronics.liteon.com/upload/download/DS22-2000-072/LTST-C150KGKT.PDF" TargetMode="External"/><Relationship Id="rId161" Type="http://schemas.openxmlformats.org/officeDocument/2006/relationships/hyperlink" Target="https://media.digikey.com/Renders/On%20Semi%20Renders/SOD-923_514AB.jpg" TargetMode="External"/><Relationship Id="rId399" Type="http://schemas.openxmlformats.org/officeDocument/2006/relationships/hyperlink" Target="https://www.ti.com/lit/ds/symlink/sn65hvd233.pdf" TargetMode="External"/><Relationship Id="rId259" Type="http://schemas.openxmlformats.org/officeDocument/2006/relationships/hyperlink" Target="https://media.digikey.com/Renders/Microchip%20Tech%20Renders/150~C04-005~P,-PD~14.JPG" TargetMode="External"/><Relationship Id="rId466" Type="http://schemas.openxmlformats.org/officeDocument/2006/relationships/hyperlink" Target="https://ww1.microchip.com/downloads/en/DeviceDoc/ATmega48A-PA-88A-PA-168A-PA-328-P-DS-DS40002061B.pdf" TargetMode="External"/><Relationship Id="rId23" Type="http://schemas.openxmlformats.org/officeDocument/2006/relationships/hyperlink" Target="https://eu.mouser.com/datasheet/2/445/418117270908-3087033.pdf" TargetMode="External"/><Relationship Id="rId119" Type="http://schemas.openxmlformats.org/officeDocument/2006/relationships/hyperlink" Target="https://www.onsemi.com/pdf/datasheet/mbr120vlsft1-d.pdf" TargetMode="External"/><Relationship Id="rId326" Type="http://schemas.openxmlformats.org/officeDocument/2006/relationships/hyperlink" Target="https://sensorkit.joy-it.net/files/files/sensors/KY-021/KY-021.png" TargetMode="External"/><Relationship Id="rId533" Type="http://schemas.openxmlformats.org/officeDocument/2006/relationships/hyperlink" Target="https://datasheet.lcsc.com/lcsc/2009171305_TAI-TECH-FCM1608KF-601T03_C141723.pdf" TargetMode="External"/><Relationship Id="rId172" Type="http://schemas.openxmlformats.org/officeDocument/2006/relationships/hyperlink" Target="https://assets.lcsc.com/images/lcsc/900x900/20180914_Diodes-Incorporated-B330B-13-F_C134450_front.jpg" TargetMode="External"/><Relationship Id="rId477" Type="http://schemas.openxmlformats.org/officeDocument/2006/relationships/hyperlink" Target="https://www.st.com/content/ccc/resource/technical/document/datasheet/96/ed/61/9b/e0/6c/45/0b/DM00166116.pdf/files/DM00166116.pdf/jcr:content/translations/en.DM00166116.pdf" TargetMode="External"/><Relationship Id="rId337" Type="http://schemas.openxmlformats.org/officeDocument/2006/relationships/hyperlink" Target="https://electrosome.com/wp-content/uploads/2020/05/Tilt-Sensor-300x300.jpeg" TargetMode="External"/><Relationship Id="rId34" Type="http://schemas.openxmlformats.org/officeDocument/2006/relationships/hyperlink" Target="https://www.molex.com/pdm_docs/sd/734120110_sd.pdf" TargetMode="External"/><Relationship Id="rId544" Type="http://schemas.openxmlformats.org/officeDocument/2006/relationships/hyperlink" Target="https://datasheet.lcsc.com/lcsc/1912111437_3L-COILS-SNR8040K-150M_C326353.pdf" TargetMode="External"/><Relationship Id="rId183" Type="http://schemas.openxmlformats.org/officeDocument/2006/relationships/hyperlink" Target="https://octopart.com/electronic-parts/integrated-circuits-ics/linear-ics/amplifiers-op-amps-buffer-instrumentation" TargetMode="External"/><Relationship Id="rId390" Type="http://schemas.openxmlformats.org/officeDocument/2006/relationships/hyperlink" Target="https://assets.lcsc.com/images/lcsc/900x900/20230119_XFCN-PZ254V-11-05P_C492404_front.jpg" TargetMode="External"/><Relationship Id="rId404" Type="http://schemas.openxmlformats.org/officeDocument/2006/relationships/hyperlink" Target="https://media.digikey.com/Renders/Texas%20Instr%20Renders/296~4204102-3~DRC~10.jpg" TargetMode="External"/><Relationship Id="rId250" Type="http://schemas.openxmlformats.org/officeDocument/2006/relationships/hyperlink" Target="https://components101.com/sites/default/files/components/HT12E-Encoder-IC.jpg" TargetMode="External"/><Relationship Id="rId488" Type="http://schemas.openxmlformats.org/officeDocument/2006/relationships/hyperlink" Target="http://www.lyontek.com.tw/pdf/ddr/LY68L6400-1.1.pdf" TargetMode="External"/><Relationship Id="rId45" Type="http://schemas.openxmlformats.org/officeDocument/2006/relationships/hyperlink" Target="https://www.jst-mfg.com/product/pdf/eng/ePH.pdf" TargetMode="External"/><Relationship Id="rId110" Type="http://schemas.openxmlformats.org/officeDocument/2006/relationships/hyperlink" Target="https://optoelectronics.liteon.com/upload/download/DS22-2000-228/LTST-C191KGKT.PDF" TargetMode="External"/><Relationship Id="rId348" Type="http://schemas.openxmlformats.org/officeDocument/2006/relationships/hyperlink" Target="https://sensorkit.joy-it.net/files/files/sensors/KY-016/KY-016.png" TargetMode="External"/><Relationship Id="rId555" Type="http://schemas.openxmlformats.org/officeDocument/2006/relationships/hyperlink" Target="https://product.tdk.com/en/system/files?file=dam/doc/product/inductor/inductor/smd/catalog/inductor_automotive_power_vls6045ex-h_en.pdf"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A1:S1048576"/>
  <sheetViews>
    <sheetView tabSelected="1" topLeftCell="K1" zoomScale="64" zoomScaleNormal="64" workbookViewId="0">
      <selection activeCell="F50" sqref="F50"/>
    </sheetView>
  </sheetViews>
  <sheetFormatPr defaultRowHeight="15"/>
  <cols>
    <col min="1" max="2" width="44.42578125" customWidth="1"/>
    <col min="3" max="3" width="44.42578125" style="11" customWidth="1"/>
    <col min="4" max="4" width="31.5703125" bestFit="1" customWidth="1"/>
    <col min="5" max="6" width="31.5703125" customWidth="1"/>
    <col min="7" max="7" width="33.7109375" bestFit="1" customWidth="1"/>
    <col min="8" max="8" width="28.28515625" customWidth="1"/>
    <col min="9" max="9" width="22.42578125" customWidth="1"/>
    <col min="10" max="10" width="123.42578125" customWidth="1"/>
    <col min="11" max="11" width="9.140625" customWidth="1"/>
    <col min="12" max="12" width="10.140625" customWidth="1"/>
    <col min="13" max="13" width="24.28515625" customWidth="1"/>
    <col min="14" max="14" width="21.5703125" customWidth="1"/>
    <col min="15" max="15" width="100.5703125" style="11" customWidth="1"/>
    <col min="16" max="16" width="99.28515625" style="11" customWidth="1"/>
    <col min="17" max="17" width="14.42578125" style="5" customWidth="1"/>
    <col min="18" max="18" width="20.42578125" bestFit="1" customWidth="1"/>
    <col min="19" max="19" width="92" bestFit="1" customWidth="1"/>
    <col min="20" max="20" width="29" bestFit="1" customWidth="1"/>
    <col min="21" max="21" width="15.5703125" bestFit="1" customWidth="1"/>
  </cols>
  <sheetData>
    <row r="1" spans="1:19">
      <c r="A1" t="s">
        <v>0</v>
      </c>
      <c r="B1" t="s">
        <v>1</v>
      </c>
      <c r="C1" s="11" t="s">
        <v>2</v>
      </c>
      <c r="D1" t="s">
        <v>3</v>
      </c>
      <c r="E1" t="s">
        <v>4</v>
      </c>
      <c r="F1" t="s">
        <v>5</v>
      </c>
      <c r="G1" t="s">
        <v>6</v>
      </c>
      <c r="H1" t="s">
        <v>7</v>
      </c>
      <c r="I1" t="s">
        <v>8</v>
      </c>
      <c r="J1" t="s">
        <v>9</v>
      </c>
      <c r="K1" t="s">
        <v>10</v>
      </c>
      <c r="L1" t="s">
        <v>11</v>
      </c>
      <c r="M1" t="s">
        <v>12</v>
      </c>
      <c r="N1" t="s">
        <v>13</v>
      </c>
      <c r="O1" s="11" t="s">
        <v>14</v>
      </c>
      <c r="P1" s="11" t="s">
        <v>15</v>
      </c>
      <c r="Q1" s="5" t="s">
        <v>16</v>
      </c>
      <c r="R1" t="s">
        <v>17</v>
      </c>
      <c r="S1" t="s">
        <v>18</v>
      </c>
    </row>
    <row r="2" spans="1:19" ht="63.75">
      <c r="A2" s="4" t="s">
        <v>19</v>
      </c>
      <c r="B2" s="4"/>
      <c r="C2" s="17" t="s">
        <v>20</v>
      </c>
      <c r="D2" s="4" t="s">
        <v>21</v>
      </c>
      <c r="E2" s="4"/>
      <c r="F2" s="4" t="s">
        <v>22</v>
      </c>
      <c r="G2" s="3" t="s">
        <v>23</v>
      </c>
      <c r="H2" s="3" t="s">
        <v>24</v>
      </c>
      <c r="I2" s="4" t="s">
        <v>25</v>
      </c>
      <c r="J2" s="6" t="s">
        <v>26</v>
      </c>
      <c r="K2" s="3">
        <v>20</v>
      </c>
      <c r="L2" s="3">
        <v>2386.0259999999998</v>
      </c>
      <c r="M2" s="3" t="s">
        <v>27</v>
      </c>
      <c r="N2" s="3" t="s">
        <v>28</v>
      </c>
      <c r="O2" s="12" t="s">
        <v>29</v>
      </c>
      <c r="P2" s="7" t="s">
        <v>30</v>
      </c>
      <c r="Q2" s="6" t="s">
        <v>31</v>
      </c>
      <c r="R2" s="6"/>
      <c r="S2" s="9" t="str">
        <f>CONCATENATE("[","{","MountingType",",",Q2,"}","]")</f>
        <v>[{MountingType,Surface Mount}]</v>
      </c>
    </row>
    <row r="3" spans="1:19" ht="63.75">
      <c r="A3" s="4" t="s">
        <v>19</v>
      </c>
      <c r="B3" s="4"/>
      <c r="C3" s="17" t="s">
        <v>20</v>
      </c>
      <c r="D3" s="4" t="s">
        <v>21</v>
      </c>
      <c r="E3" s="4"/>
      <c r="F3" s="4" t="s">
        <v>22</v>
      </c>
      <c r="G3" s="3" t="s">
        <v>32</v>
      </c>
      <c r="H3" s="3" t="s">
        <v>33</v>
      </c>
      <c r="I3" s="4" t="s">
        <v>34</v>
      </c>
      <c r="J3" s="6" t="s">
        <v>35</v>
      </c>
      <c r="K3" s="3">
        <v>14</v>
      </c>
      <c r="L3" s="3">
        <v>141.11279999999999</v>
      </c>
      <c r="M3" s="3" t="s">
        <v>36</v>
      </c>
      <c r="N3" s="3" t="s">
        <v>37</v>
      </c>
      <c r="O3" s="12" t="s">
        <v>38</v>
      </c>
      <c r="P3" s="7" t="s">
        <v>39</v>
      </c>
      <c r="Q3" s="6" t="s">
        <v>40</v>
      </c>
      <c r="R3" s="6"/>
      <c r="S3" s="9" t="str">
        <f t="shared" ref="S3:S13" si="0">CONCATENATE("[","{","MountingType",",",Q3,"}","]")</f>
        <v>[{MountingType,Through Hole}]</v>
      </c>
    </row>
    <row r="4" spans="1:19" ht="63.75">
      <c r="A4" s="4" t="s">
        <v>19</v>
      </c>
      <c r="B4" s="4"/>
      <c r="C4" s="17" t="s">
        <v>20</v>
      </c>
      <c r="D4" s="4" t="s">
        <v>21</v>
      </c>
      <c r="E4" s="4"/>
      <c r="F4" s="4" t="s">
        <v>22</v>
      </c>
      <c r="G4" s="3" t="s">
        <v>41</v>
      </c>
      <c r="H4" s="3" t="s">
        <v>42</v>
      </c>
      <c r="I4" s="4" t="s">
        <v>34</v>
      </c>
      <c r="J4" s="6" t="s">
        <v>43</v>
      </c>
      <c r="K4" s="3">
        <v>13</v>
      </c>
      <c r="L4" s="3">
        <v>131.62350000000001</v>
      </c>
      <c r="M4" s="3" t="s">
        <v>44</v>
      </c>
      <c r="N4" s="6" t="s">
        <v>45</v>
      </c>
      <c r="O4" s="12" t="s">
        <v>46</v>
      </c>
      <c r="P4" s="7" t="s">
        <v>47</v>
      </c>
      <c r="Q4" s="6" t="s">
        <v>31</v>
      </c>
      <c r="R4" s="6"/>
      <c r="S4" s="9" t="str">
        <f t="shared" si="0"/>
        <v>[{MountingType,Surface Mount}]</v>
      </c>
    </row>
    <row r="5" spans="1:19" ht="63.75">
      <c r="A5" s="4" t="s">
        <v>19</v>
      </c>
      <c r="B5" s="4"/>
      <c r="C5" s="17" t="s">
        <v>20</v>
      </c>
      <c r="D5" s="4" t="s">
        <v>21</v>
      </c>
      <c r="E5" s="4"/>
      <c r="F5" s="4" t="s">
        <v>22</v>
      </c>
      <c r="G5" s="3" t="s">
        <v>48</v>
      </c>
      <c r="H5" s="3" t="s">
        <v>49</v>
      </c>
      <c r="I5" s="4" t="s">
        <v>50</v>
      </c>
      <c r="J5" s="6" t="s">
        <v>51</v>
      </c>
      <c r="K5" s="3">
        <v>4</v>
      </c>
      <c r="L5" s="3">
        <v>369.66600000000005</v>
      </c>
      <c r="M5" s="3" t="s">
        <v>52</v>
      </c>
      <c r="N5" s="3" t="s">
        <v>53</v>
      </c>
      <c r="O5" s="12" t="s">
        <v>54</v>
      </c>
      <c r="P5" s="7" t="s">
        <v>55</v>
      </c>
      <c r="Q5" s="6" t="s">
        <v>31</v>
      </c>
      <c r="R5" s="6"/>
      <c r="S5" s="9" t="str">
        <f t="shared" si="0"/>
        <v>[{MountingType,Surface Mount}]</v>
      </c>
    </row>
    <row r="6" spans="1:19" ht="63.75">
      <c r="A6" s="4" t="s">
        <v>19</v>
      </c>
      <c r="B6" s="4"/>
      <c r="C6" s="17" t="s">
        <v>20</v>
      </c>
      <c r="D6" s="4" t="s">
        <v>21</v>
      </c>
      <c r="E6" s="4"/>
      <c r="F6" s="4" t="s">
        <v>22</v>
      </c>
      <c r="G6" s="3" t="s">
        <v>56</v>
      </c>
      <c r="H6" s="3" t="s">
        <v>57</v>
      </c>
      <c r="I6" s="4" t="s">
        <v>58</v>
      </c>
      <c r="J6" s="6" t="s">
        <v>59</v>
      </c>
      <c r="K6" s="3">
        <v>11</v>
      </c>
      <c r="L6" s="3">
        <v>1306.0439999999999</v>
      </c>
      <c r="M6" s="3" t="s">
        <v>45</v>
      </c>
      <c r="N6" s="6" t="s">
        <v>45</v>
      </c>
      <c r="O6" s="12" t="s">
        <v>60</v>
      </c>
      <c r="P6" s="7" t="s">
        <v>61</v>
      </c>
      <c r="Q6" s="6" t="s">
        <v>62</v>
      </c>
      <c r="R6" s="6"/>
      <c r="S6" s="9" t="str">
        <f t="shared" si="0"/>
        <v>[{MountingType,Panel Mount}]</v>
      </c>
    </row>
    <row r="7" spans="1:19" ht="63.75">
      <c r="A7" s="4" t="s">
        <v>19</v>
      </c>
      <c r="B7" s="4"/>
      <c r="C7" s="17" t="s">
        <v>20</v>
      </c>
      <c r="D7" s="4" t="s">
        <v>21</v>
      </c>
      <c r="E7" s="4"/>
      <c r="F7" s="4" t="s">
        <v>22</v>
      </c>
      <c r="G7" s="3" t="s">
        <v>63</v>
      </c>
      <c r="H7" s="3" t="s">
        <v>64</v>
      </c>
      <c r="I7" s="4" t="s">
        <v>65</v>
      </c>
      <c r="J7" s="6" t="s">
        <v>66</v>
      </c>
      <c r="K7" s="3">
        <v>1</v>
      </c>
      <c r="L7" s="3">
        <v>364.06500000000005</v>
      </c>
      <c r="M7" s="3"/>
      <c r="N7" s="6" t="s">
        <v>45</v>
      </c>
      <c r="O7" s="12" t="s">
        <v>67</v>
      </c>
      <c r="P7" s="7" t="s">
        <v>68</v>
      </c>
      <c r="Q7" s="6" t="s">
        <v>62</v>
      </c>
      <c r="R7" s="6"/>
      <c r="S7" s="9" t="str">
        <f t="shared" si="0"/>
        <v>[{MountingType,Panel Mount}]</v>
      </c>
    </row>
    <row r="8" spans="1:19" ht="63.75">
      <c r="A8" s="4" t="s">
        <v>19</v>
      </c>
      <c r="B8" s="4"/>
      <c r="C8" s="17" t="s">
        <v>20</v>
      </c>
      <c r="D8" s="4" t="s">
        <v>21</v>
      </c>
      <c r="E8" s="4"/>
      <c r="F8" s="4" t="s">
        <v>22</v>
      </c>
      <c r="G8" s="4" t="s">
        <v>69</v>
      </c>
      <c r="H8" s="4" t="s">
        <v>70</v>
      </c>
      <c r="I8" s="4" t="s">
        <v>71</v>
      </c>
      <c r="J8" s="4" t="s">
        <v>72</v>
      </c>
      <c r="K8" s="3">
        <v>2</v>
      </c>
      <c r="L8" s="3">
        <v>516.41280000000006</v>
      </c>
      <c r="M8" s="3" t="s">
        <v>52</v>
      </c>
      <c r="N8" s="3">
        <v>218</v>
      </c>
      <c r="O8" s="12" t="s">
        <v>73</v>
      </c>
      <c r="P8" s="7" t="s">
        <v>74</v>
      </c>
      <c r="Q8" s="6" t="s">
        <v>75</v>
      </c>
      <c r="R8" s="6"/>
      <c r="S8" s="9" t="str">
        <f t="shared" si="0"/>
        <v>[{MountingType,PCB Mount}]</v>
      </c>
    </row>
    <row r="9" spans="1:19" ht="63.75">
      <c r="A9" s="4" t="s">
        <v>19</v>
      </c>
      <c r="B9" s="4"/>
      <c r="C9" s="17" t="s">
        <v>20</v>
      </c>
      <c r="D9" s="4" t="s">
        <v>21</v>
      </c>
      <c r="E9" s="4"/>
      <c r="F9" s="4" t="s">
        <v>22</v>
      </c>
      <c r="G9" s="4" t="s">
        <v>76</v>
      </c>
      <c r="H9" s="4" t="s">
        <v>77</v>
      </c>
      <c r="I9" s="4" t="s">
        <v>34</v>
      </c>
      <c r="J9" s="4" t="s">
        <v>78</v>
      </c>
      <c r="K9" s="3">
        <v>1</v>
      </c>
      <c r="L9" s="3">
        <v>207.23699999999999</v>
      </c>
      <c r="M9" s="3" t="s">
        <v>45</v>
      </c>
      <c r="N9" s="6" t="s">
        <v>45</v>
      </c>
      <c r="O9" s="12" t="s">
        <v>79</v>
      </c>
      <c r="P9" s="7" t="s">
        <v>80</v>
      </c>
      <c r="Q9" s="6" t="s">
        <v>81</v>
      </c>
      <c r="R9" s="6"/>
      <c r="S9" s="9" t="str">
        <f t="shared" si="0"/>
        <v>[{MountingType,Shrouded}]</v>
      </c>
    </row>
    <row r="10" spans="1:19" ht="63.75">
      <c r="A10" s="4" t="s">
        <v>19</v>
      </c>
      <c r="B10" s="4"/>
      <c r="C10" s="17" t="s">
        <v>20</v>
      </c>
      <c r="D10" s="4" t="s">
        <v>21</v>
      </c>
      <c r="E10" s="4"/>
      <c r="F10" s="4" t="s">
        <v>22</v>
      </c>
      <c r="G10" s="4" t="s">
        <v>82</v>
      </c>
      <c r="H10" s="4" t="s">
        <v>83</v>
      </c>
      <c r="I10" s="4" t="s">
        <v>25</v>
      </c>
      <c r="J10" s="4" t="s">
        <v>84</v>
      </c>
      <c r="K10" s="3">
        <v>1</v>
      </c>
      <c r="L10" s="3">
        <v>246.44400000000002</v>
      </c>
      <c r="M10" s="3" t="s">
        <v>45</v>
      </c>
      <c r="N10" s="6" t="s">
        <v>45</v>
      </c>
      <c r="O10" s="12" t="s">
        <v>85</v>
      </c>
      <c r="P10" s="7" t="s">
        <v>86</v>
      </c>
      <c r="Q10" s="6" t="s">
        <v>87</v>
      </c>
      <c r="R10" s="6"/>
      <c r="S10" s="9" t="str">
        <f t="shared" si="0"/>
        <v>[{MountingType,Brick nogging}]</v>
      </c>
    </row>
    <row r="11" spans="1:19" ht="63.75">
      <c r="A11" s="4" t="s">
        <v>19</v>
      </c>
      <c r="B11" s="4"/>
      <c r="C11" s="17" t="s">
        <v>20</v>
      </c>
      <c r="D11" s="4" t="s">
        <v>21</v>
      </c>
      <c r="E11" s="4"/>
      <c r="F11" s="4" t="s">
        <v>22</v>
      </c>
      <c r="G11" s="4" t="s">
        <v>88</v>
      </c>
      <c r="H11" s="4" t="s">
        <v>77</v>
      </c>
      <c r="I11" s="4" t="s">
        <v>34</v>
      </c>
      <c r="J11" s="4" t="s">
        <v>89</v>
      </c>
      <c r="K11" s="3">
        <v>2</v>
      </c>
      <c r="L11" s="3">
        <v>72.813000000000002</v>
      </c>
      <c r="M11" s="3" t="s">
        <v>44</v>
      </c>
      <c r="N11" s="6" t="s">
        <v>45</v>
      </c>
      <c r="O11" s="12" t="s">
        <v>90</v>
      </c>
      <c r="P11" s="7" t="s">
        <v>91</v>
      </c>
      <c r="Q11" s="6" t="s">
        <v>87</v>
      </c>
      <c r="R11" s="6"/>
      <c r="S11" s="9" t="str">
        <f t="shared" si="0"/>
        <v>[{MountingType,Brick nogging}]</v>
      </c>
    </row>
    <row r="12" spans="1:19" ht="63.75">
      <c r="A12" s="4" t="s">
        <v>19</v>
      </c>
      <c r="B12" s="4"/>
      <c r="C12" s="17" t="s">
        <v>20</v>
      </c>
      <c r="D12" s="4" t="s">
        <v>21</v>
      </c>
      <c r="E12" s="4"/>
      <c r="F12" s="4" t="s">
        <v>22</v>
      </c>
      <c r="G12" s="4">
        <v>418117270908</v>
      </c>
      <c r="H12" s="4" t="s">
        <v>92</v>
      </c>
      <c r="I12" s="4" t="s">
        <v>71</v>
      </c>
      <c r="J12" s="4" t="s">
        <v>93</v>
      </c>
      <c r="K12" s="3">
        <v>1</v>
      </c>
      <c r="L12" s="3">
        <v>585.46799999999996</v>
      </c>
      <c r="M12" s="3" t="s">
        <v>27</v>
      </c>
      <c r="N12" s="3" t="s">
        <v>94</v>
      </c>
      <c r="O12" s="12" t="s">
        <v>95</v>
      </c>
      <c r="P12" s="7" t="s">
        <v>96</v>
      </c>
      <c r="Q12" s="6" t="s">
        <v>75</v>
      </c>
      <c r="R12" s="6"/>
      <c r="S12" s="9" t="str">
        <f t="shared" si="0"/>
        <v>[{MountingType,PCB Mount}]</v>
      </c>
    </row>
    <row r="13" spans="1:19" ht="63.75">
      <c r="A13" s="4" t="s">
        <v>19</v>
      </c>
      <c r="B13" s="4"/>
      <c r="C13" s="17" t="s">
        <v>20</v>
      </c>
      <c r="D13" s="4" t="s">
        <v>21</v>
      </c>
      <c r="E13" s="4"/>
      <c r="F13" s="4" t="s">
        <v>22</v>
      </c>
      <c r="G13" s="4" t="s">
        <v>97</v>
      </c>
      <c r="H13" s="4" t="s">
        <v>98</v>
      </c>
      <c r="I13" s="4" t="s">
        <v>71</v>
      </c>
      <c r="J13" s="4" t="s">
        <v>99</v>
      </c>
      <c r="K13" s="3">
        <v>6</v>
      </c>
      <c r="L13" s="3">
        <v>204.16320000000002</v>
      </c>
      <c r="M13" s="3" t="s">
        <v>27</v>
      </c>
      <c r="N13" s="3" t="s">
        <v>94</v>
      </c>
      <c r="O13" s="12" t="s">
        <v>100</v>
      </c>
      <c r="P13" s="7" t="s">
        <v>101</v>
      </c>
      <c r="Q13" s="6" t="s">
        <v>75</v>
      </c>
      <c r="R13" s="6"/>
      <c r="S13" s="9" t="str">
        <f t="shared" si="0"/>
        <v>[{MountingType,PCB Mount}]</v>
      </c>
    </row>
    <row r="14" spans="1:19" ht="89.25">
      <c r="A14" s="4" t="s">
        <v>102</v>
      </c>
      <c r="B14" s="4"/>
      <c r="C14" s="17" t="s">
        <v>103</v>
      </c>
      <c r="D14" s="4" t="s">
        <v>104</v>
      </c>
      <c r="E14" s="4"/>
      <c r="F14" s="4" t="s">
        <v>105</v>
      </c>
      <c r="G14" s="4" t="s">
        <v>106</v>
      </c>
      <c r="H14" s="4" t="s">
        <v>107</v>
      </c>
      <c r="I14" s="4" t="s">
        <v>108</v>
      </c>
      <c r="J14" s="4" t="s">
        <v>109</v>
      </c>
      <c r="K14" s="4">
        <v>2</v>
      </c>
      <c r="L14" s="3">
        <v>7205.76</v>
      </c>
      <c r="M14" s="4"/>
      <c r="N14" s="6"/>
      <c r="O14" s="7" t="s">
        <v>110</v>
      </c>
      <c r="P14" s="7" t="s">
        <v>111</v>
      </c>
      <c r="Q14" s="6"/>
      <c r="R14" s="6"/>
      <c r="S14" s="9"/>
    </row>
    <row r="15" spans="1:19" ht="89.25">
      <c r="A15" s="4" t="s">
        <v>102</v>
      </c>
      <c r="B15" s="4"/>
      <c r="C15" s="17" t="s">
        <v>103</v>
      </c>
      <c r="D15" s="4" t="s">
        <v>104</v>
      </c>
      <c r="E15" s="4"/>
      <c r="F15" s="4" t="s">
        <v>105</v>
      </c>
      <c r="G15" s="4" t="s">
        <v>112</v>
      </c>
      <c r="H15" s="4" t="s">
        <v>107</v>
      </c>
      <c r="I15" s="4" t="s">
        <v>113</v>
      </c>
      <c r="J15" s="4" t="s">
        <v>114</v>
      </c>
      <c r="K15" s="4">
        <v>6</v>
      </c>
      <c r="L15" s="3">
        <v>12610.08</v>
      </c>
      <c r="M15" s="4"/>
      <c r="N15" s="6"/>
      <c r="O15" s="7" t="s">
        <v>115</v>
      </c>
      <c r="P15" s="7" t="s">
        <v>116</v>
      </c>
      <c r="Q15" s="6"/>
      <c r="R15" s="6"/>
      <c r="S15" s="9"/>
    </row>
    <row r="16" spans="1:19" ht="76.5">
      <c r="A16" s="4" t="s">
        <v>117</v>
      </c>
      <c r="B16" s="4"/>
      <c r="C16" s="17" t="s">
        <v>118</v>
      </c>
      <c r="D16" s="4" t="s">
        <v>119</v>
      </c>
      <c r="E16" s="4"/>
      <c r="F16" s="17" t="s">
        <v>120</v>
      </c>
      <c r="G16" s="4" t="s">
        <v>121</v>
      </c>
      <c r="H16" s="4" t="s">
        <v>122</v>
      </c>
      <c r="I16" s="4" t="s">
        <v>123</v>
      </c>
      <c r="J16" s="4" t="s">
        <v>124</v>
      </c>
      <c r="K16" s="3">
        <v>15</v>
      </c>
      <c r="L16" s="3">
        <v>61.611000000000004</v>
      </c>
      <c r="M16" s="4"/>
      <c r="N16" s="3" t="s">
        <v>125</v>
      </c>
      <c r="O16" s="7" t="s">
        <v>126</v>
      </c>
      <c r="P16" s="7" t="s">
        <v>127</v>
      </c>
      <c r="Q16" s="3" t="s">
        <v>40</v>
      </c>
      <c r="R16" s="6"/>
      <c r="S16" s="9" t="str">
        <f t="shared" ref="S16:S51" si="1">CONCATENATE("[","{","MountingType",",",Q16,"}","]")</f>
        <v>[{MountingType,Through Hole}]</v>
      </c>
    </row>
    <row r="17" spans="1:19" ht="76.5">
      <c r="A17" s="4" t="s">
        <v>117</v>
      </c>
      <c r="B17" s="4"/>
      <c r="C17" s="17" t="s">
        <v>118</v>
      </c>
      <c r="D17" s="4" t="s">
        <v>119</v>
      </c>
      <c r="E17" s="4"/>
      <c r="F17" s="17" t="s">
        <v>120</v>
      </c>
      <c r="G17" s="4" t="s">
        <v>128</v>
      </c>
      <c r="H17" s="4" t="s">
        <v>122</v>
      </c>
      <c r="I17" s="4" t="s">
        <v>123</v>
      </c>
      <c r="J17" s="4" t="s">
        <v>129</v>
      </c>
      <c r="K17" s="3">
        <v>15</v>
      </c>
      <c r="L17" s="3">
        <v>56.010000000000005</v>
      </c>
      <c r="M17" s="4"/>
      <c r="N17" s="3" t="s">
        <v>130</v>
      </c>
      <c r="O17" s="7" t="s">
        <v>131</v>
      </c>
      <c r="P17" s="7" t="s">
        <v>132</v>
      </c>
      <c r="Q17" s="3" t="s">
        <v>40</v>
      </c>
      <c r="R17" s="6"/>
      <c r="S17" s="9" t="str">
        <f t="shared" si="1"/>
        <v>[{MountingType,Through Hole}]</v>
      </c>
    </row>
    <row r="18" spans="1:19" ht="76.5">
      <c r="A18" s="4" t="s">
        <v>117</v>
      </c>
      <c r="B18" s="4"/>
      <c r="C18" s="17" t="s">
        <v>118</v>
      </c>
      <c r="D18" s="4" t="s">
        <v>133</v>
      </c>
      <c r="E18" s="4"/>
      <c r="F18" s="17" t="s">
        <v>134</v>
      </c>
      <c r="G18" s="4" t="s">
        <v>135</v>
      </c>
      <c r="H18" s="4" t="s">
        <v>136</v>
      </c>
      <c r="I18" s="4" t="s">
        <v>137</v>
      </c>
      <c r="J18" s="4" t="s">
        <v>138</v>
      </c>
      <c r="K18" s="3">
        <v>11</v>
      </c>
      <c r="L18" s="3">
        <v>296.85300000000001</v>
      </c>
      <c r="M18" s="6"/>
      <c r="N18" s="3" t="s">
        <v>139</v>
      </c>
      <c r="O18" s="7" t="s">
        <v>140</v>
      </c>
      <c r="P18" s="7" t="s">
        <v>141</v>
      </c>
      <c r="Q18" s="6" t="s">
        <v>31</v>
      </c>
      <c r="R18" s="6"/>
      <c r="S18" s="9" t="str">
        <f t="shared" si="1"/>
        <v>[{MountingType,Surface Mount}]</v>
      </c>
    </row>
    <row r="19" spans="1:19" ht="114.75">
      <c r="A19" s="4" t="s">
        <v>117</v>
      </c>
      <c r="B19" s="4"/>
      <c r="C19" s="17" t="s">
        <v>118</v>
      </c>
      <c r="D19" s="4" t="s">
        <v>142</v>
      </c>
      <c r="E19" s="4"/>
      <c r="F19" s="17" t="s">
        <v>143</v>
      </c>
      <c r="G19" s="4" t="s">
        <v>144</v>
      </c>
      <c r="H19" s="4" t="s">
        <v>145</v>
      </c>
      <c r="I19" s="4" t="s">
        <v>146</v>
      </c>
      <c r="J19" s="4" t="s">
        <v>147</v>
      </c>
      <c r="K19" s="3">
        <v>9</v>
      </c>
      <c r="L19" s="3">
        <v>1108.998</v>
      </c>
      <c r="M19" s="6"/>
      <c r="N19" s="3" t="s">
        <v>45</v>
      </c>
      <c r="O19" s="7" t="s">
        <v>148</v>
      </c>
      <c r="P19" s="7" t="s">
        <v>149</v>
      </c>
      <c r="Q19" s="3" t="s">
        <v>31</v>
      </c>
      <c r="R19" s="6"/>
      <c r="S19" s="9" t="str">
        <f t="shared" si="1"/>
        <v>[{MountingType,Surface Mount}]</v>
      </c>
    </row>
    <row r="20" spans="1:19" ht="114.75">
      <c r="A20" s="4" t="s">
        <v>117</v>
      </c>
      <c r="B20" s="4"/>
      <c r="C20" s="17" t="s">
        <v>118</v>
      </c>
      <c r="D20" s="4" t="s">
        <v>142</v>
      </c>
      <c r="E20" s="4"/>
      <c r="F20" s="17" t="s">
        <v>143</v>
      </c>
      <c r="G20" s="4" t="s">
        <v>150</v>
      </c>
      <c r="H20" s="4" t="s">
        <v>151</v>
      </c>
      <c r="I20" s="4" t="s">
        <v>152</v>
      </c>
      <c r="J20" s="4" t="s">
        <v>153</v>
      </c>
      <c r="K20" s="3">
        <v>9</v>
      </c>
      <c r="L20" s="3">
        <v>128.82300000000001</v>
      </c>
      <c r="M20" s="6"/>
      <c r="N20" s="3" t="s">
        <v>45</v>
      </c>
      <c r="O20" s="7" t="s">
        <v>154</v>
      </c>
      <c r="P20" s="7" t="s">
        <v>155</v>
      </c>
      <c r="Q20" s="3" t="s">
        <v>31</v>
      </c>
      <c r="R20" s="6"/>
      <c r="S20" s="9" t="str">
        <f t="shared" si="1"/>
        <v>[{MountingType,Surface Mount}]</v>
      </c>
    </row>
    <row r="21" spans="1:19" ht="76.5">
      <c r="A21" s="4" t="s">
        <v>117</v>
      </c>
      <c r="B21" s="4"/>
      <c r="C21" s="17" t="s">
        <v>118</v>
      </c>
      <c r="D21" s="4" t="s">
        <v>133</v>
      </c>
      <c r="E21" s="4"/>
      <c r="F21" s="17" t="s">
        <v>134</v>
      </c>
      <c r="G21" s="4">
        <v>734120110</v>
      </c>
      <c r="H21" s="4" t="s">
        <v>156</v>
      </c>
      <c r="I21" s="4" t="s">
        <v>137</v>
      </c>
      <c r="J21" s="4" t="s">
        <v>157</v>
      </c>
      <c r="K21" s="3">
        <v>6</v>
      </c>
      <c r="L21" s="3">
        <v>221.23950000000002</v>
      </c>
      <c r="M21" s="6"/>
      <c r="N21" s="3">
        <v>73412</v>
      </c>
      <c r="O21" s="7" t="s">
        <v>158</v>
      </c>
      <c r="P21" s="7" t="s">
        <v>159</v>
      </c>
      <c r="Q21" s="6" t="s">
        <v>31</v>
      </c>
      <c r="R21" s="6"/>
      <c r="S21" s="9" t="str">
        <f t="shared" si="1"/>
        <v>[{MountingType,Surface Mount}]</v>
      </c>
    </row>
    <row r="22" spans="1:19" ht="76.5">
      <c r="A22" s="4" t="s">
        <v>117</v>
      </c>
      <c r="B22" s="4"/>
      <c r="C22" s="17" t="s">
        <v>118</v>
      </c>
      <c r="D22" s="4" t="s">
        <v>119</v>
      </c>
      <c r="E22" s="4"/>
      <c r="F22" s="17" t="s">
        <v>120</v>
      </c>
      <c r="G22" s="4" t="s">
        <v>160</v>
      </c>
      <c r="H22" s="4" t="s">
        <v>122</v>
      </c>
      <c r="I22" s="4" t="s">
        <v>123</v>
      </c>
      <c r="J22" s="4" t="s">
        <v>161</v>
      </c>
      <c r="K22" s="3">
        <v>15</v>
      </c>
      <c r="L22" s="3">
        <v>61.611000000000004</v>
      </c>
      <c r="M22" s="6"/>
      <c r="N22" s="3" t="s">
        <v>125</v>
      </c>
      <c r="O22" s="7" t="s">
        <v>126</v>
      </c>
      <c r="P22" s="7" t="s">
        <v>162</v>
      </c>
      <c r="Q22" s="3" t="s">
        <v>40</v>
      </c>
      <c r="R22" s="6"/>
      <c r="S22" s="9" t="str">
        <f t="shared" si="1"/>
        <v>[{MountingType,Through Hole}]</v>
      </c>
    </row>
    <row r="23" spans="1:19" ht="76.5">
      <c r="A23" s="4" t="s">
        <v>117</v>
      </c>
      <c r="B23" s="4"/>
      <c r="C23" s="17" t="s">
        <v>118</v>
      </c>
      <c r="D23" s="4" t="s">
        <v>119</v>
      </c>
      <c r="E23" s="4"/>
      <c r="F23" s="17" t="s">
        <v>120</v>
      </c>
      <c r="G23" s="4" t="s">
        <v>163</v>
      </c>
      <c r="H23" s="4" t="s">
        <v>164</v>
      </c>
      <c r="I23" s="4" t="s">
        <v>123</v>
      </c>
      <c r="J23" s="4" t="s">
        <v>165</v>
      </c>
      <c r="K23" s="3">
        <v>15</v>
      </c>
      <c r="L23" s="3">
        <v>5.601</v>
      </c>
      <c r="M23" s="6"/>
      <c r="N23" s="3"/>
      <c r="O23" s="7" t="s">
        <v>166</v>
      </c>
      <c r="P23" s="7" t="s">
        <v>167</v>
      </c>
      <c r="Q23" s="3" t="s">
        <v>168</v>
      </c>
      <c r="R23" s="6"/>
      <c r="S23" s="9" t="str">
        <f t="shared" si="1"/>
        <v>[{MountingType,Straight}]</v>
      </c>
    </row>
    <row r="24" spans="1:19" ht="114.75">
      <c r="A24" s="4" t="s">
        <v>117</v>
      </c>
      <c r="B24" s="4"/>
      <c r="C24" s="17" t="s">
        <v>118</v>
      </c>
      <c r="D24" s="4" t="s">
        <v>142</v>
      </c>
      <c r="E24" s="4"/>
      <c r="F24" s="17" t="s">
        <v>143</v>
      </c>
      <c r="G24" s="4" t="s">
        <v>169</v>
      </c>
      <c r="H24" s="4" t="s">
        <v>170</v>
      </c>
      <c r="I24" s="4" t="s">
        <v>152</v>
      </c>
      <c r="J24" s="4" t="s">
        <v>171</v>
      </c>
      <c r="K24" s="3">
        <v>4</v>
      </c>
      <c r="L24" s="3">
        <v>16.803000000000001</v>
      </c>
      <c r="M24" s="6"/>
      <c r="N24" s="3"/>
      <c r="O24" s="7" t="s">
        <v>172</v>
      </c>
      <c r="P24" s="7" t="s">
        <v>173</v>
      </c>
      <c r="Q24" s="6"/>
      <c r="R24" s="6"/>
      <c r="S24" s="9"/>
    </row>
    <row r="25" spans="1:19" ht="114.75">
      <c r="A25" s="4" t="s">
        <v>117</v>
      </c>
      <c r="B25" s="4"/>
      <c r="C25" s="17" t="s">
        <v>118</v>
      </c>
      <c r="D25" s="4" t="s">
        <v>142</v>
      </c>
      <c r="E25" s="4"/>
      <c r="F25" s="17" t="s">
        <v>143</v>
      </c>
      <c r="G25" s="4" t="s">
        <v>174</v>
      </c>
      <c r="H25" s="4" t="s">
        <v>151</v>
      </c>
      <c r="I25" s="4" t="s">
        <v>152</v>
      </c>
      <c r="J25" s="4" t="s">
        <v>153</v>
      </c>
      <c r="K25" s="3">
        <v>7</v>
      </c>
      <c r="L25" s="3">
        <v>128.82300000000001</v>
      </c>
      <c r="M25" s="6"/>
      <c r="N25" s="3" t="s">
        <v>45</v>
      </c>
      <c r="O25" s="7" t="s">
        <v>154</v>
      </c>
      <c r="P25" s="7" t="s">
        <v>175</v>
      </c>
      <c r="Q25" s="6" t="s">
        <v>31</v>
      </c>
      <c r="R25" s="6"/>
      <c r="S25" s="9" t="str">
        <f t="shared" si="1"/>
        <v>[{MountingType,Surface Mount}]</v>
      </c>
    </row>
    <row r="26" spans="1:19" ht="76.5">
      <c r="A26" s="4" t="s">
        <v>117</v>
      </c>
      <c r="B26" s="4"/>
      <c r="C26" s="17" t="s">
        <v>118</v>
      </c>
      <c r="D26" s="4" t="s">
        <v>176</v>
      </c>
      <c r="E26" s="4"/>
      <c r="F26" s="4" t="s">
        <v>177</v>
      </c>
      <c r="G26" s="4" t="s">
        <v>178</v>
      </c>
      <c r="H26" s="4" t="s">
        <v>179</v>
      </c>
      <c r="I26" s="4" t="s">
        <v>180</v>
      </c>
      <c r="J26" s="4" t="s">
        <v>181</v>
      </c>
      <c r="K26" s="3">
        <v>5</v>
      </c>
      <c r="L26" s="3">
        <v>134.42400000000001</v>
      </c>
      <c r="M26" s="6"/>
      <c r="N26" s="3"/>
      <c r="O26" s="7" t="s">
        <v>182</v>
      </c>
      <c r="P26" s="7" t="s">
        <v>183</v>
      </c>
      <c r="Q26" s="6"/>
      <c r="R26" s="6"/>
      <c r="S26" s="9"/>
    </row>
    <row r="27" spans="1:19" ht="76.5">
      <c r="A27" s="4" t="s">
        <v>117</v>
      </c>
      <c r="B27" s="4"/>
      <c r="C27" s="17" t="s">
        <v>118</v>
      </c>
      <c r="D27" s="4" t="s">
        <v>119</v>
      </c>
      <c r="E27" s="4"/>
      <c r="F27" s="17" t="s">
        <v>120</v>
      </c>
      <c r="G27" s="4">
        <v>22232111</v>
      </c>
      <c r="H27" s="4" t="s">
        <v>156</v>
      </c>
      <c r="I27" s="4" t="s">
        <v>123</v>
      </c>
      <c r="J27" s="4" t="s">
        <v>184</v>
      </c>
      <c r="K27" s="3">
        <v>2</v>
      </c>
      <c r="L27" s="3">
        <v>288.45150000000001</v>
      </c>
      <c r="M27" s="6"/>
      <c r="N27" s="3" t="s">
        <v>185</v>
      </c>
      <c r="O27" s="7" t="s">
        <v>186</v>
      </c>
      <c r="P27" s="7" t="s">
        <v>187</v>
      </c>
      <c r="Q27" s="3" t="s">
        <v>40</v>
      </c>
      <c r="R27" s="6"/>
      <c r="S27" s="9" t="str">
        <f t="shared" si="1"/>
        <v>[{MountingType,Through Hole}]</v>
      </c>
    </row>
    <row r="28" spans="1:19" ht="76.5">
      <c r="A28" s="4" t="s">
        <v>117</v>
      </c>
      <c r="B28" s="4"/>
      <c r="C28" s="17" t="s">
        <v>118</v>
      </c>
      <c r="D28" s="4" t="s">
        <v>188</v>
      </c>
      <c r="E28" s="4"/>
      <c r="F28" s="17" t="s">
        <v>189</v>
      </c>
      <c r="G28" s="4">
        <v>693043020611</v>
      </c>
      <c r="H28" s="4" t="s">
        <v>92</v>
      </c>
      <c r="I28" s="4" t="s">
        <v>180</v>
      </c>
      <c r="J28" s="4" t="s">
        <v>190</v>
      </c>
      <c r="K28" s="3">
        <v>15</v>
      </c>
      <c r="L28" s="3">
        <v>506.89050000000003</v>
      </c>
      <c r="M28" s="6"/>
      <c r="N28" s="3" t="s">
        <v>191</v>
      </c>
      <c r="O28" s="7" t="s">
        <v>192</v>
      </c>
      <c r="P28" s="7" t="s">
        <v>193</v>
      </c>
      <c r="Q28" s="4" t="s">
        <v>31</v>
      </c>
      <c r="R28" s="6"/>
      <c r="S28" s="9" t="str">
        <f t="shared" si="1"/>
        <v>[{MountingType,Surface Mount}]</v>
      </c>
    </row>
    <row r="29" spans="1:19" ht="76.5">
      <c r="A29" s="4" t="s">
        <v>117</v>
      </c>
      <c r="B29" s="4"/>
      <c r="C29" s="17" t="s">
        <v>118</v>
      </c>
      <c r="D29" s="4" t="s">
        <v>119</v>
      </c>
      <c r="E29" s="4"/>
      <c r="F29" s="17" t="s">
        <v>120</v>
      </c>
      <c r="G29" s="4" t="s">
        <v>194</v>
      </c>
      <c r="H29" s="4" t="s">
        <v>122</v>
      </c>
      <c r="I29" s="4" t="s">
        <v>123</v>
      </c>
      <c r="J29" s="4" t="s">
        <v>195</v>
      </c>
      <c r="K29" s="3">
        <v>9</v>
      </c>
      <c r="L29" s="3">
        <v>47.608500000000006</v>
      </c>
      <c r="M29" s="6"/>
      <c r="N29" s="3" t="s">
        <v>125</v>
      </c>
      <c r="O29" s="7" t="s">
        <v>126</v>
      </c>
      <c r="P29" s="7" t="s">
        <v>196</v>
      </c>
      <c r="Q29" s="3" t="s">
        <v>40</v>
      </c>
      <c r="R29" s="6"/>
      <c r="S29" s="9" t="str">
        <f t="shared" si="1"/>
        <v>[{MountingType,Through Hole}]</v>
      </c>
    </row>
    <row r="30" spans="1:19" ht="76.5">
      <c r="A30" s="4" t="s">
        <v>117</v>
      </c>
      <c r="B30" s="4"/>
      <c r="C30" s="17" t="s">
        <v>118</v>
      </c>
      <c r="D30" s="4" t="s">
        <v>188</v>
      </c>
      <c r="E30" s="4"/>
      <c r="F30" s="17" t="s">
        <v>189</v>
      </c>
      <c r="G30" s="4">
        <v>5050200692</v>
      </c>
      <c r="H30" s="4" t="s">
        <v>156</v>
      </c>
      <c r="I30" s="4" t="s">
        <v>197</v>
      </c>
      <c r="J30" s="4" t="s">
        <v>198</v>
      </c>
      <c r="K30" s="3">
        <v>6</v>
      </c>
      <c r="L30" s="3">
        <v>0</v>
      </c>
      <c r="M30" s="6"/>
      <c r="N30" s="3">
        <v>505020</v>
      </c>
      <c r="O30" s="7" t="s">
        <v>199</v>
      </c>
      <c r="P30" s="7" t="s">
        <v>200</v>
      </c>
      <c r="Q30" s="6" t="s">
        <v>31</v>
      </c>
      <c r="R30" s="6"/>
      <c r="S30" s="9" t="str">
        <f t="shared" si="1"/>
        <v>[{MountingType,Surface Mount}]</v>
      </c>
    </row>
    <row r="31" spans="1:19" ht="114.75">
      <c r="A31" s="4" t="s">
        <v>117</v>
      </c>
      <c r="B31" s="4"/>
      <c r="C31" s="17" t="s">
        <v>118</v>
      </c>
      <c r="D31" s="4" t="s">
        <v>142</v>
      </c>
      <c r="E31" s="4"/>
      <c r="F31" s="17" t="s">
        <v>143</v>
      </c>
      <c r="G31" s="4">
        <v>476420001</v>
      </c>
      <c r="H31" s="4" t="s">
        <v>156</v>
      </c>
      <c r="I31" s="4" t="s">
        <v>201</v>
      </c>
      <c r="J31" s="4" t="s">
        <v>202</v>
      </c>
      <c r="K31" s="3">
        <v>7</v>
      </c>
      <c r="L31" s="3">
        <v>266.04750000000001</v>
      </c>
      <c r="M31" s="6"/>
      <c r="N31" s="3">
        <v>47642</v>
      </c>
      <c r="O31" s="7" t="s">
        <v>203</v>
      </c>
      <c r="P31" s="7" t="s">
        <v>204</v>
      </c>
      <c r="Q31" s="4" t="s">
        <v>205</v>
      </c>
      <c r="R31" s="6"/>
      <c r="S31" s="9" t="str">
        <f t="shared" si="1"/>
        <v>[{MountingType,Board Edge}]</v>
      </c>
    </row>
    <row r="32" spans="1:19" ht="76.5">
      <c r="A32" s="4" t="s">
        <v>117</v>
      </c>
      <c r="B32" s="4"/>
      <c r="C32" s="17" t="s">
        <v>118</v>
      </c>
      <c r="D32" s="4" t="s">
        <v>119</v>
      </c>
      <c r="E32" s="4"/>
      <c r="F32" s="17" t="s">
        <v>120</v>
      </c>
      <c r="G32" s="4" t="s">
        <v>206</v>
      </c>
      <c r="H32" s="4" t="s">
        <v>122</v>
      </c>
      <c r="I32" s="4" t="s">
        <v>207</v>
      </c>
      <c r="J32" s="4" t="s">
        <v>208</v>
      </c>
      <c r="K32" s="3">
        <v>9</v>
      </c>
      <c r="L32" s="3">
        <v>78.414000000000016</v>
      </c>
      <c r="M32" s="6"/>
      <c r="N32" s="3" t="s">
        <v>125</v>
      </c>
      <c r="O32" s="7" t="s">
        <v>126</v>
      </c>
      <c r="P32" s="7" t="s">
        <v>209</v>
      </c>
      <c r="Q32" s="3" t="s">
        <v>210</v>
      </c>
      <c r="R32" s="6"/>
      <c r="S32" s="9" t="str">
        <f t="shared" si="1"/>
        <v>[{MountingType,Free Hanging}]</v>
      </c>
    </row>
    <row r="33" spans="1:19" ht="76.5">
      <c r="A33" s="4" t="s">
        <v>117</v>
      </c>
      <c r="B33" s="4"/>
      <c r="C33" s="17" t="s">
        <v>118</v>
      </c>
      <c r="D33" s="4" t="s">
        <v>119</v>
      </c>
      <c r="E33" s="4"/>
      <c r="F33" s="17" t="s">
        <v>120</v>
      </c>
      <c r="G33" s="4" t="s">
        <v>211</v>
      </c>
      <c r="H33" s="4" t="s">
        <v>122</v>
      </c>
      <c r="I33" s="4" t="s">
        <v>123</v>
      </c>
      <c r="J33" s="4" t="s">
        <v>212</v>
      </c>
      <c r="K33" s="3">
        <v>5</v>
      </c>
      <c r="L33" s="3">
        <v>39.207000000000008</v>
      </c>
      <c r="M33" s="6"/>
      <c r="N33" s="3" t="s">
        <v>125</v>
      </c>
      <c r="O33" s="7" t="s">
        <v>126</v>
      </c>
      <c r="P33" s="7" t="s">
        <v>213</v>
      </c>
      <c r="Q33" s="3" t="s">
        <v>40</v>
      </c>
      <c r="R33" s="6"/>
      <c r="S33" s="9" t="str">
        <f t="shared" si="1"/>
        <v>[{MountingType,Through Hole}]</v>
      </c>
    </row>
    <row r="34" spans="1:19" ht="76.5">
      <c r="A34" s="4" t="s">
        <v>117</v>
      </c>
      <c r="B34" s="4"/>
      <c r="C34" s="17" t="s">
        <v>118</v>
      </c>
      <c r="D34" s="4" t="s">
        <v>119</v>
      </c>
      <c r="E34" s="4"/>
      <c r="F34" s="17" t="s">
        <v>120</v>
      </c>
      <c r="G34" s="4" t="s">
        <v>214</v>
      </c>
      <c r="H34" s="4" t="s">
        <v>215</v>
      </c>
      <c r="I34" s="4" t="s">
        <v>123</v>
      </c>
      <c r="J34" s="4" t="s">
        <v>216</v>
      </c>
      <c r="K34" s="3">
        <v>4</v>
      </c>
      <c r="L34" s="3">
        <v>369.66600000000005</v>
      </c>
      <c r="M34" s="6"/>
      <c r="N34" s="3" t="s">
        <v>45</v>
      </c>
      <c r="O34" s="7" t="s">
        <v>217</v>
      </c>
      <c r="P34" s="7" t="s">
        <v>218</v>
      </c>
      <c r="Q34" s="6" t="s">
        <v>31</v>
      </c>
      <c r="R34" s="6"/>
      <c r="S34" s="9" t="str">
        <f t="shared" si="1"/>
        <v>[{MountingType,Surface Mount}]</v>
      </c>
    </row>
    <row r="35" spans="1:19" ht="76.5">
      <c r="A35" s="4" t="s">
        <v>117</v>
      </c>
      <c r="B35" s="4"/>
      <c r="C35" s="17" t="s">
        <v>118</v>
      </c>
      <c r="D35" s="4" t="s">
        <v>119</v>
      </c>
      <c r="E35" s="4"/>
      <c r="F35" s="17" t="s">
        <v>120</v>
      </c>
      <c r="G35" s="4" t="s">
        <v>219</v>
      </c>
      <c r="H35" s="4" t="s">
        <v>151</v>
      </c>
      <c r="I35" s="4" t="s">
        <v>123</v>
      </c>
      <c r="J35" s="4" t="s">
        <v>220</v>
      </c>
      <c r="K35" s="3">
        <v>25</v>
      </c>
      <c r="L35" s="3">
        <v>221.23950000000002</v>
      </c>
      <c r="M35" s="6"/>
      <c r="N35" s="3" t="s">
        <v>221</v>
      </c>
      <c r="O35" s="7" t="s">
        <v>222</v>
      </c>
      <c r="P35" s="7" t="s">
        <v>223</v>
      </c>
      <c r="Q35" s="6"/>
      <c r="R35" s="6"/>
      <c r="S35" s="9"/>
    </row>
    <row r="36" spans="1:19" ht="76.5">
      <c r="A36" s="4" t="s">
        <v>117</v>
      </c>
      <c r="B36" s="4"/>
      <c r="C36" s="17" t="s">
        <v>118</v>
      </c>
      <c r="D36" s="4" t="s">
        <v>119</v>
      </c>
      <c r="E36" s="4"/>
      <c r="F36" s="17" t="s">
        <v>120</v>
      </c>
      <c r="G36" s="4" t="s">
        <v>224</v>
      </c>
      <c r="H36" s="4" t="s">
        <v>225</v>
      </c>
      <c r="I36" s="4" t="s">
        <v>123</v>
      </c>
      <c r="J36" s="4" t="s">
        <v>226</v>
      </c>
      <c r="K36" s="3">
        <v>13</v>
      </c>
      <c r="L36" s="3">
        <v>8.4015000000000004</v>
      </c>
      <c r="M36" s="6"/>
      <c r="N36" s="3"/>
      <c r="O36" s="7" t="s">
        <v>227</v>
      </c>
      <c r="P36" s="7" t="s">
        <v>228</v>
      </c>
      <c r="Q36" s="3" t="s">
        <v>168</v>
      </c>
      <c r="R36" s="6"/>
      <c r="S36" s="9" t="str">
        <f t="shared" si="1"/>
        <v>[{MountingType,Straight}]</v>
      </c>
    </row>
    <row r="37" spans="1:19" ht="76.5">
      <c r="A37" s="4" t="s">
        <v>117</v>
      </c>
      <c r="B37" s="4"/>
      <c r="C37" s="17" t="s">
        <v>118</v>
      </c>
      <c r="D37" s="4" t="s">
        <v>229</v>
      </c>
      <c r="E37" s="4"/>
      <c r="F37" s="4" t="s">
        <v>230</v>
      </c>
      <c r="G37" s="4" t="s">
        <v>231</v>
      </c>
      <c r="H37" s="4" t="s">
        <v>232</v>
      </c>
      <c r="I37" s="4" t="s">
        <v>233</v>
      </c>
      <c r="J37" s="4" t="s">
        <v>234</v>
      </c>
      <c r="K37" s="3">
        <v>2</v>
      </c>
      <c r="L37" s="3">
        <v>560.1</v>
      </c>
      <c r="M37" s="6"/>
      <c r="N37" s="3"/>
      <c r="O37" s="7" t="s">
        <v>235</v>
      </c>
      <c r="P37" s="7" t="s">
        <v>236</v>
      </c>
      <c r="Q37" s="6"/>
      <c r="R37" s="6"/>
      <c r="S37" s="9"/>
    </row>
    <row r="38" spans="1:19" ht="76.5">
      <c r="A38" s="4" t="s">
        <v>117</v>
      </c>
      <c r="B38" s="4"/>
      <c r="C38" s="17" t="s">
        <v>118</v>
      </c>
      <c r="D38" s="4" t="s">
        <v>119</v>
      </c>
      <c r="E38" s="4"/>
      <c r="F38" s="17" t="s">
        <v>120</v>
      </c>
      <c r="G38" s="4" t="s">
        <v>237</v>
      </c>
      <c r="H38" s="4" t="s">
        <v>238</v>
      </c>
      <c r="I38" s="4" t="s">
        <v>123</v>
      </c>
      <c r="J38" s="4" t="s">
        <v>239</v>
      </c>
      <c r="K38" s="3">
        <v>42</v>
      </c>
      <c r="L38" s="3">
        <v>5.601</v>
      </c>
      <c r="M38" s="6"/>
      <c r="N38" s="3"/>
      <c r="O38" s="7" t="s">
        <v>240</v>
      </c>
      <c r="P38" s="7" t="s">
        <v>241</v>
      </c>
      <c r="Q38" s="3" t="s">
        <v>168</v>
      </c>
      <c r="R38" s="6"/>
      <c r="S38" s="9" t="str">
        <f t="shared" si="1"/>
        <v>[{MountingType,Straight}]</v>
      </c>
    </row>
    <row r="39" spans="1:19" ht="76.5">
      <c r="A39" s="4" t="s">
        <v>117</v>
      </c>
      <c r="B39" s="4"/>
      <c r="C39" s="17" t="s">
        <v>118</v>
      </c>
      <c r="D39" s="4" t="s">
        <v>242</v>
      </c>
      <c r="E39" s="4"/>
      <c r="F39" s="4" t="s">
        <v>243</v>
      </c>
      <c r="G39" s="4" t="s">
        <v>244</v>
      </c>
      <c r="H39" s="4" t="s">
        <v>77</v>
      </c>
      <c r="I39" s="4" t="s">
        <v>245</v>
      </c>
      <c r="J39" s="4" t="s">
        <v>246</v>
      </c>
      <c r="K39" s="3">
        <v>4</v>
      </c>
      <c r="L39" s="3">
        <v>56.010000000000005</v>
      </c>
      <c r="M39" s="6"/>
      <c r="N39" s="3"/>
      <c r="O39" s="7" t="s">
        <v>247</v>
      </c>
      <c r="P39" s="7" t="s">
        <v>248</v>
      </c>
      <c r="Q39" s="6"/>
      <c r="R39" s="6"/>
      <c r="S39" s="9"/>
    </row>
    <row r="40" spans="1:19" ht="76.5">
      <c r="A40" s="4" t="s">
        <v>117</v>
      </c>
      <c r="B40" s="4"/>
      <c r="C40" s="17" t="s">
        <v>118</v>
      </c>
      <c r="D40" s="4" t="s">
        <v>249</v>
      </c>
      <c r="E40" s="4"/>
      <c r="F40" s="4" t="s">
        <v>250</v>
      </c>
      <c r="G40" s="4" t="s">
        <v>251</v>
      </c>
      <c r="H40" s="4" t="s">
        <v>252</v>
      </c>
      <c r="I40" s="4" t="s">
        <v>253</v>
      </c>
      <c r="J40" s="4" t="s">
        <v>254</v>
      </c>
      <c r="K40" s="3">
        <v>38</v>
      </c>
      <c r="L40" s="3">
        <v>28.005000000000003</v>
      </c>
      <c r="M40" s="6"/>
      <c r="N40" s="3"/>
      <c r="O40" s="7" t="s">
        <v>255</v>
      </c>
      <c r="P40" s="7" t="s">
        <v>256</v>
      </c>
      <c r="Q40" s="3" t="s">
        <v>40</v>
      </c>
      <c r="R40" s="6"/>
      <c r="S40" s="9" t="str">
        <f t="shared" si="1"/>
        <v>[{MountingType,Through Hole}]</v>
      </c>
    </row>
    <row r="41" spans="1:19" ht="76.5">
      <c r="A41" s="4" t="s">
        <v>117</v>
      </c>
      <c r="B41" s="4"/>
      <c r="C41" s="17" t="s">
        <v>118</v>
      </c>
      <c r="D41" s="4" t="s">
        <v>249</v>
      </c>
      <c r="E41" s="4"/>
      <c r="F41" s="4" t="s">
        <v>250</v>
      </c>
      <c r="G41" s="4" t="s">
        <v>257</v>
      </c>
      <c r="H41" s="4" t="s">
        <v>258</v>
      </c>
      <c r="I41" s="4" t="s">
        <v>259</v>
      </c>
      <c r="J41" s="4" t="s">
        <v>260</v>
      </c>
      <c r="K41" s="3">
        <v>32</v>
      </c>
      <c r="L41" s="3">
        <v>28.005000000000003</v>
      </c>
      <c r="M41" s="6"/>
      <c r="N41" s="3"/>
      <c r="O41" s="7" t="s">
        <v>261</v>
      </c>
      <c r="P41" s="7" t="s">
        <v>262</v>
      </c>
      <c r="Q41" s="3" t="s">
        <v>40</v>
      </c>
      <c r="R41" s="6"/>
      <c r="S41" s="9" t="str">
        <f t="shared" si="1"/>
        <v>[{MountingType,Through Hole}]</v>
      </c>
    </row>
    <row r="42" spans="1:19" ht="76.5">
      <c r="A42" s="4" t="s">
        <v>117</v>
      </c>
      <c r="B42" s="4"/>
      <c r="C42" s="17" t="s">
        <v>118</v>
      </c>
      <c r="D42" s="4" t="s">
        <v>119</v>
      </c>
      <c r="E42" s="4"/>
      <c r="F42" s="17" t="s">
        <v>120</v>
      </c>
      <c r="G42" s="4" t="s">
        <v>263</v>
      </c>
      <c r="H42" s="4" t="s">
        <v>151</v>
      </c>
      <c r="I42" s="4" t="s">
        <v>123</v>
      </c>
      <c r="J42" s="4" t="s">
        <v>264</v>
      </c>
      <c r="K42" s="3">
        <v>2</v>
      </c>
      <c r="L42" s="3">
        <v>252.04500000000002</v>
      </c>
      <c r="M42" s="6"/>
      <c r="N42" s="3" t="s">
        <v>221</v>
      </c>
      <c r="O42" s="7" t="s">
        <v>265</v>
      </c>
      <c r="P42" s="7" t="s">
        <v>266</v>
      </c>
      <c r="Q42" s="6"/>
      <c r="R42" s="6"/>
      <c r="S42" s="9"/>
    </row>
    <row r="43" spans="1:19" ht="76.5">
      <c r="A43" s="3" t="s">
        <v>117</v>
      </c>
      <c r="B43" s="3"/>
      <c r="C43" s="17" t="s">
        <v>118</v>
      </c>
      <c r="D43" s="3" t="s">
        <v>267</v>
      </c>
      <c r="E43" s="3"/>
      <c r="F43" s="3" t="s">
        <v>268</v>
      </c>
      <c r="G43" s="3" t="s">
        <v>269</v>
      </c>
      <c r="H43" s="4" t="s">
        <v>270</v>
      </c>
      <c r="I43" s="4" t="s">
        <v>271</v>
      </c>
      <c r="J43" s="4" t="s">
        <v>272</v>
      </c>
      <c r="K43" s="3">
        <v>2</v>
      </c>
      <c r="L43" s="3">
        <v>47.608500000000006</v>
      </c>
      <c r="M43" s="6"/>
      <c r="N43" s="3"/>
      <c r="O43" s="7" t="s">
        <v>273</v>
      </c>
      <c r="P43" s="7" t="s">
        <v>274</v>
      </c>
      <c r="Q43" s="6" t="s">
        <v>31</v>
      </c>
      <c r="R43" s="6"/>
      <c r="S43" s="9" t="str">
        <f t="shared" si="1"/>
        <v>[{MountingType,Surface Mount}]</v>
      </c>
    </row>
    <row r="44" spans="1:19" ht="114.75">
      <c r="A44" s="4" t="s">
        <v>117</v>
      </c>
      <c r="B44" s="4"/>
      <c r="C44" s="17" t="s">
        <v>118</v>
      </c>
      <c r="D44" s="4" t="s">
        <v>142</v>
      </c>
      <c r="E44" s="4"/>
      <c r="F44" s="17" t="s">
        <v>143</v>
      </c>
      <c r="G44" s="4" t="s">
        <v>275</v>
      </c>
      <c r="H44" s="4" t="s">
        <v>145</v>
      </c>
      <c r="I44" s="4" t="s">
        <v>276</v>
      </c>
      <c r="J44" s="4" t="s">
        <v>277</v>
      </c>
      <c r="K44" s="3">
        <v>9</v>
      </c>
      <c r="L44" s="3">
        <v>450.88050000000004</v>
      </c>
      <c r="M44" s="6"/>
      <c r="N44" s="3" t="s">
        <v>45</v>
      </c>
      <c r="O44" s="7" t="s">
        <v>278</v>
      </c>
      <c r="P44" s="7" t="s">
        <v>279</v>
      </c>
      <c r="Q44" s="3" t="s">
        <v>40</v>
      </c>
      <c r="R44" s="6"/>
      <c r="S44" s="9" t="str">
        <f t="shared" si="1"/>
        <v>[{MountingType,Through Hole}]</v>
      </c>
    </row>
    <row r="45" spans="1:19" ht="76.5">
      <c r="A45" s="4" t="s">
        <v>117</v>
      </c>
      <c r="B45" s="4"/>
      <c r="C45" s="17" t="s">
        <v>118</v>
      </c>
      <c r="D45" s="4" t="s">
        <v>119</v>
      </c>
      <c r="E45" s="4"/>
      <c r="F45" s="17" t="s">
        <v>120</v>
      </c>
      <c r="G45" s="4" t="s">
        <v>280</v>
      </c>
      <c r="H45" s="4" t="s">
        <v>145</v>
      </c>
      <c r="I45" s="4" t="s">
        <v>123</v>
      </c>
      <c r="J45" s="4" t="s">
        <v>281</v>
      </c>
      <c r="K45" s="3">
        <v>26</v>
      </c>
      <c r="L45" s="3">
        <v>56.010000000000005</v>
      </c>
      <c r="M45" s="6"/>
      <c r="N45" s="3" t="s">
        <v>282</v>
      </c>
      <c r="O45" s="7" t="s">
        <v>283</v>
      </c>
      <c r="P45" s="7" t="s">
        <v>284</v>
      </c>
      <c r="Q45" s="3" t="s">
        <v>40</v>
      </c>
      <c r="R45" s="6"/>
      <c r="S45" s="9" t="str">
        <f t="shared" si="1"/>
        <v>[{MountingType,Through Hole}]</v>
      </c>
    </row>
    <row r="46" spans="1:19" ht="76.5">
      <c r="A46" s="4" t="s">
        <v>117</v>
      </c>
      <c r="B46" s="4"/>
      <c r="C46" s="17" t="s">
        <v>118</v>
      </c>
      <c r="D46" s="4" t="s">
        <v>119</v>
      </c>
      <c r="E46" s="4"/>
      <c r="F46" s="17" t="s">
        <v>120</v>
      </c>
      <c r="G46" s="4" t="s">
        <v>285</v>
      </c>
      <c r="H46" s="4" t="s">
        <v>145</v>
      </c>
      <c r="I46" s="4" t="s">
        <v>123</v>
      </c>
      <c r="J46" s="4" t="s">
        <v>286</v>
      </c>
      <c r="K46" s="3">
        <v>5</v>
      </c>
      <c r="L46" s="3">
        <v>710.30899999999997</v>
      </c>
      <c r="M46" s="6"/>
      <c r="N46" s="3" t="s">
        <v>287</v>
      </c>
      <c r="O46" s="12" t="s">
        <v>288</v>
      </c>
      <c r="P46" s="7" t="s">
        <v>289</v>
      </c>
      <c r="Q46" s="4" t="s">
        <v>40</v>
      </c>
      <c r="R46" s="6"/>
      <c r="S46" s="9" t="str">
        <f t="shared" si="1"/>
        <v>[{MountingType,Through Hole}]</v>
      </c>
    </row>
    <row r="47" spans="1:19" ht="114.75">
      <c r="A47" s="4" t="s">
        <v>117</v>
      </c>
      <c r="B47" s="4"/>
      <c r="C47" s="17" t="s">
        <v>118</v>
      </c>
      <c r="D47" s="4" t="s">
        <v>142</v>
      </c>
      <c r="E47" s="4"/>
      <c r="F47" s="17" t="s">
        <v>143</v>
      </c>
      <c r="G47" s="4" t="s">
        <v>290</v>
      </c>
      <c r="H47" s="4" t="s">
        <v>291</v>
      </c>
      <c r="I47" s="4" t="s">
        <v>152</v>
      </c>
      <c r="J47" s="4" t="s">
        <v>292</v>
      </c>
      <c r="K47" s="3">
        <v>4</v>
      </c>
      <c r="L47" s="3">
        <v>53.209500000000006</v>
      </c>
      <c r="M47" s="6"/>
      <c r="N47" s="3" t="s">
        <v>293</v>
      </c>
      <c r="O47" s="7" t="s">
        <v>294</v>
      </c>
      <c r="P47" s="7" t="s">
        <v>295</v>
      </c>
      <c r="Q47" s="4" t="s">
        <v>205</v>
      </c>
      <c r="R47" s="6"/>
      <c r="S47" s="9" t="str">
        <f t="shared" si="1"/>
        <v>[{MountingType,Board Edge}]</v>
      </c>
    </row>
    <row r="48" spans="1:19" ht="76.5">
      <c r="A48" s="4" t="s">
        <v>117</v>
      </c>
      <c r="B48" s="4"/>
      <c r="C48" s="17" t="s">
        <v>118</v>
      </c>
      <c r="D48" s="4" t="s">
        <v>119</v>
      </c>
      <c r="E48" s="4"/>
      <c r="F48" s="17" t="s">
        <v>120</v>
      </c>
      <c r="G48" s="4" t="s">
        <v>296</v>
      </c>
      <c r="H48" s="4" t="s">
        <v>297</v>
      </c>
      <c r="I48" s="4" t="s">
        <v>123</v>
      </c>
      <c r="J48" s="4" t="s">
        <v>298</v>
      </c>
      <c r="K48" s="3">
        <v>15</v>
      </c>
      <c r="L48" s="3">
        <v>5.601</v>
      </c>
      <c r="M48" s="6"/>
      <c r="N48" s="3"/>
      <c r="O48" s="7" t="s">
        <v>299</v>
      </c>
      <c r="P48" s="7" t="s">
        <v>300</v>
      </c>
      <c r="Q48" s="8" t="s">
        <v>168</v>
      </c>
      <c r="R48" s="6"/>
      <c r="S48" s="9" t="str">
        <f t="shared" si="1"/>
        <v>[{MountingType,Straight}]</v>
      </c>
    </row>
    <row r="49" spans="1:19" ht="76.5">
      <c r="A49" s="4" t="s">
        <v>117</v>
      </c>
      <c r="B49" s="4"/>
      <c r="C49" s="17" t="s">
        <v>118</v>
      </c>
      <c r="D49" s="4" t="s">
        <v>119</v>
      </c>
      <c r="E49" s="4"/>
      <c r="F49" s="17" t="s">
        <v>120</v>
      </c>
      <c r="G49" s="4" t="s">
        <v>301</v>
      </c>
      <c r="H49" s="4" t="s">
        <v>136</v>
      </c>
      <c r="I49" s="4" t="s">
        <v>123</v>
      </c>
      <c r="J49" s="4" t="s">
        <v>302</v>
      </c>
      <c r="K49" s="3">
        <v>5</v>
      </c>
      <c r="L49" s="3">
        <v>126.02250000000001</v>
      </c>
      <c r="N49" s="3" t="s">
        <v>303</v>
      </c>
      <c r="O49" s="7" t="s">
        <v>304</v>
      </c>
      <c r="P49" s="7" t="s">
        <v>305</v>
      </c>
      <c r="Q49" s="6" t="s">
        <v>31</v>
      </c>
      <c r="R49" s="6"/>
      <c r="S49" s="9" t="str">
        <f t="shared" si="1"/>
        <v>[{MountingType,Surface Mount}]</v>
      </c>
    </row>
    <row r="50" spans="1:19" ht="76.5">
      <c r="A50" s="4" t="s">
        <v>117</v>
      </c>
      <c r="B50" s="4"/>
      <c r="C50" s="17" t="s">
        <v>118</v>
      </c>
      <c r="D50" s="4" t="s">
        <v>249</v>
      </c>
      <c r="E50" s="4"/>
      <c r="F50" s="4" t="s">
        <v>250</v>
      </c>
      <c r="G50" s="4" t="s">
        <v>306</v>
      </c>
      <c r="H50" s="4" t="s">
        <v>258</v>
      </c>
      <c r="I50" s="4" t="s">
        <v>307</v>
      </c>
      <c r="J50" s="4" t="s">
        <v>308</v>
      </c>
      <c r="K50" s="3">
        <v>2</v>
      </c>
      <c r="L50" s="10">
        <v>60</v>
      </c>
      <c r="N50" s="3"/>
      <c r="O50" s="7" t="s">
        <v>309</v>
      </c>
      <c r="P50" s="7" t="s">
        <v>310</v>
      </c>
      <c r="Q50" s="3" t="s">
        <v>40</v>
      </c>
      <c r="R50" s="6"/>
      <c r="S50" s="9" t="str">
        <f t="shared" si="1"/>
        <v>[{MountingType,Through Hole}]</v>
      </c>
    </row>
    <row r="51" spans="1:19" ht="76.5">
      <c r="A51" s="4" t="s">
        <v>117</v>
      </c>
      <c r="B51" s="4"/>
      <c r="C51" s="17" t="s">
        <v>118</v>
      </c>
      <c r="D51" s="4" t="s">
        <v>119</v>
      </c>
      <c r="E51" s="4"/>
      <c r="F51" s="17" t="s">
        <v>120</v>
      </c>
      <c r="G51" s="4" t="s">
        <v>311</v>
      </c>
      <c r="H51" s="4" t="s">
        <v>122</v>
      </c>
      <c r="I51" s="4" t="s">
        <v>312</v>
      </c>
      <c r="J51" s="4" t="s">
        <v>313</v>
      </c>
      <c r="K51" s="3">
        <v>48</v>
      </c>
      <c r="L51" s="3">
        <v>28.005000000000003</v>
      </c>
      <c r="N51" s="3" t="s">
        <v>125</v>
      </c>
      <c r="O51" s="7" t="s">
        <v>126</v>
      </c>
      <c r="P51" s="12" t="s">
        <v>314</v>
      </c>
      <c r="Q51" s="3" t="s">
        <v>210</v>
      </c>
      <c r="R51" s="6"/>
      <c r="S51" s="9" t="str">
        <f t="shared" si="1"/>
        <v>[{MountingType,Free Hanging}]</v>
      </c>
    </row>
    <row r="52" spans="1:19" ht="76.5">
      <c r="A52" s="4" t="s">
        <v>117</v>
      </c>
      <c r="B52" s="4"/>
      <c r="C52" s="17" t="s">
        <v>118</v>
      </c>
      <c r="D52" s="4" t="s">
        <v>188</v>
      </c>
      <c r="E52" s="4"/>
      <c r="F52" s="17" t="s">
        <v>189</v>
      </c>
      <c r="G52" s="4" t="s">
        <v>315</v>
      </c>
      <c r="H52" s="4" t="s">
        <v>316</v>
      </c>
      <c r="I52" s="4" t="s">
        <v>197</v>
      </c>
      <c r="J52" s="4" t="s">
        <v>317</v>
      </c>
      <c r="K52" s="3">
        <v>2</v>
      </c>
      <c r="L52" s="3">
        <v>0</v>
      </c>
      <c r="N52" s="3"/>
      <c r="O52" s="7" t="s">
        <v>318</v>
      </c>
      <c r="P52" s="12" t="s">
        <v>319</v>
      </c>
      <c r="Q52" s="6"/>
      <c r="R52" s="6"/>
      <c r="S52" s="9"/>
    </row>
    <row r="53" spans="1:19" ht="76.5">
      <c r="A53" s="4" t="s">
        <v>117</v>
      </c>
      <c r="B53" s="4"/>
      <c r="C53" s="17" t="s">
        <v>118</v>
      </c>
      <c r="D53" s="4" t="s">
        <v>320</v>
      </c>
      <c r="E53" s="4"/>
      <c r="F53" s="17" t="s">
        <v>321</v>
      </c>
      <c r="G53" s="4" t="s">
        <v>322</v>
      </c>
      <c r="H53" s="4" t="s">
        <v>122</v>
      </c>
      <c r="I53" s="4" t="s">
        <v>323</v>
      </c>
      <c r="J53" s="4" t="s">
        <v>324</v>
      </c>
      <c r="K53" s="3">
        <v>1</v>
      </c>
      <c r="L53" s="3">
        <v>44.808</v>
      </c>
      <c r="N53" s="3"/>
      <c r="O53" s="7" t="s">
        <v>325</v>
      </c>
      <c r="P53" s="12" t="s">
        <v>326</v>
      </c>
      <c r="Q53" s="6"/>
      <c r="R53" s="6"/>
      <c r="S53" s="9"/>
    </row>
    <row r="54" spans="1:19" ht="63.75">
      <c r="A54" s="4" t="s">
        <v>327</v>
      </c>
      <c r="B54" s="4"/>
      <c r="C54" s="4" t="s">
        <v>328</v>
      </c>
      <c r="D54" s="4" t="s">
        <v>329</v>
      </c>
      <c r="E54" s="4"/>
      <c r="F54" s="4" t="s">
        <v>330</v>
      </c>
      <c r="G54" s="4" t="s">
        <v>331</v>
      </c>
      <c r="H54" s="4" t="s">
        <v>332</v>
      </c>
      <c r="I54" s="4" t="s">
        <v>333</v>
      </c>
      <c r="J54" s="4" t="s">
        <v>334</v>
      </c>
      <c r="K54" s="3">
        <v>2000</v>
      </c>
      <c r="L54" s="3">
        <v>72.813000000000002</v>
      </c>
      <c r="M54" s="3" t="s">
        <v>52</v>
      </c>
      <c r="N54" s="3" t="s">
        <v>45</v>
      </c>
      <c r="O54" s="7" t="s">
        <v>335</v>
      </c>
      <c r="P54" s="7" t="s">
        <v>336</v>
      </c>
      <c r="Q54" s="6" t="s">
        <v>31</v>
      </c>
      <c r="R54" s="3" t="s">
        <v>337</v>
      </c>
      <c r="S54" s="9" t="str">
        <f>CONCATENATE("[","{","MountingType",",",Q54,"}",",","{","PackageCase",",",R54,"}","]")</f>
        <v>[{MountingType,Surface Mount},{PackageCase,LED 0603 }]</v>
      </c>
    </row>
    <row r="55" spans="1:19" ht="63.75">
      <c r="A55" s="4" t="s">
        <v>327</v>
      </c>
      <c r="B55" s="4"/>
      <c r="C55" s="4" t="s">
        <v>328</v>
      </c>
      <c r="D55" s="4" t="s">
        <v>329</v>
      </c>
      <c r="E55" s="4"/>
      <c r="F55" s="4" t="s">
        <v>330</v>
      </c>
      <c r="G55" s="4" t="s">
        <v>338</v>
      </c>
      <c r="H55" s="4" t="s">
        <v>332</v>
      </c>
      <c r="I55" s="4" t="s">
        <v>333</v>
      </c>
      <c r="J55" s="4" t="s">
        <v>339</v>
      </c>
      <c r="K55" s="3">
        <v>40</v>
      </c>
      <c r="L55" s="3">
        <v>98.017499999999998</v>
      </c>
      <c r="M55" s="3" t="s">
        <v>52</v>
      </c>
      <c r="N55" s="3" t="s">
        <v>45</v>
      </c>
      <c r="O55" s="7" t="s">
        <v>340</v>
      </c>
      <c r="P55" s="7" t="s">
        <v>341</v>
      </c>
      <c r="Q55" s="6" t="s">
        <v>31</v>
      </c>
      <c r="R55" s="3" t="s">
        <v>342</v>
      </c>
      <c r="S55" s="9" t="str">
        <f t="shared" ref="S55:S118" si="2">CONCATENATE("[","{","MountingType",",",Q55,"}",",","{","PackageCase",",",R55,"}","]")</f>
        <v>[{MountingType,Surface Mount},{PackageCase,LED 1206}]</v>
      </c>
    </row>
    <row r="56" spans="1:19" ht="63.75">
      <c r="A56" s="4" t="s">
        <v>327</v>
      </c>
      <c r="B56" s="4"/>
      <c r="C56" s="4" t="s">
        <v>328</v>
      </c>
      <c r="D56" s="4" t="s">
        <v>329</v>
      </c>
      <c r="E56" s="4"/>
      <c r="F56" s="4" t="s">
        <v>330</v>
      </c>
      <c r="G56" s="4" t="s">
        <v>343</v>
      </c>
      <c r="H56" s="4" t="s">
        <v>332</v>
      </c>
      <c r="I56" s="4" t="s">
        <v>333</v>
      </c>
      <c r="J56" s="4" t="s">
        <v>344</v>
      </c>
      <c r="K56" s="3">
        <v>123</v>
      </c>
      <c r="L56" s="3">
        <v>98.017499999999998</v>
      </c>
      <c r="M56" s="3" t="s">
        <v>52</v>
      </c>
      <c r="N56" s="3" t="s">
        <v>45</v>
      </c>
      <c r="O56" s="7" t="s">
        <v>345</v>
      </c>
      <c r="P56" s="7" t="s">
        <v>346</v>
      </c>
      <c r="Q56" s="6" t="s">
        <v>31</v>
      </c>
      <c r="R56" s="3" t="s">
        <v>347</v>
      </c>
      <c r="S56" s="9" t="str">
        <f t="shared" si="2"/>
        <v>[{MountingType,Surface Mount},{PackageCase,LED 0805 }]</v>
      </c>
    </row>
    <row r="57" spans="1:19" ht="63.75">
      <c r="A57" s="4" t="s">
        <v>327</v>
      </c>
      <c r="B57" s="4"/>
      <c r="C57" s="4" t="s">
        <v>328</v>
      </c>
      <c r="D57" s="4" t="s">
        <v>329</v>
      </c>
      <c r="E57" s="4"/>
      <c r="F57" s="4" t="s">
        <v>330</v>
      </c>
      <c r="G57" s="4" t="s">
        <v>348</v>
      </c>
      <c r="H57" s="4" t="s">
        <v>349</v>
      </c>
      <c r="I57" s="4" t="s">
        <v>333</v>
      </c>
      <c r="J57" s="4" t="s">
        <v>350</v>
      </c>
      <c r="K57" s="3">
        <v>10</v>
      </c>
      <c r="L57" s="3">
        <v>11.202</v>
      </c>
      <c r="M57" s="3" t="s">
        <v>52</v>
      </c>
      <c r="N57" s="3" t="s">
        <v>45</v>
      </c>
      <c r="O57" s="7" t="s">
        <v>351</v>
      </c>
      <c r="P57" s="7" t="s">
        <v>352</v>
      </c>
      <c r="Q57" s="6" t="s">
        <v>31</v>
      </c>
      <c r="R57" s="3" t="s">
        <v>337</v>
      </c>
      <c r="S57" s="9" t="str">
        <f t="shared" si="2"/>
        <v>[{MountingType,Surface Mount},{PackageCase,LED 0603 }]</v>
      </c>
    </row>
    <row r="58" spans="1:19" ht="63.75">
      <c r="A58" s="4" t="s">
        <v>327</v>
      </c>
      <c r="B58" s="4"/>
      <c r="C58" s="4" t="s">
        <v>328</v>
      </c>
      <c r="D58" s="4" t="s">
        <v>329</v>
      </c>
      <c r="E58" s="4"/>
      <c r="F58" s="4" t="s">
        <v>330</v>
      </c>
      <c r="G58" s="4" t="s">
        <v>353</v>
      </c>
      <c r="H58" s="4" t="s">
        <v>354</v>
      </c>
      <c r="I58" s="4" t="s">
        <v>333</v>
      </c>
      <c r="J58" s="4" t="s">
        <v>355</v>
      </c>
      <c r="K58" s="3">
        <v>4</v>
      </c>
      <c r="L58" s="3">
        <v>98.017499999999998</v>
      </c>
      <c r="M58" s="3" t="s">
        <v>52</v>
      </c>
      <c r="N58" s="3" t="s">
        <v>45</v>
      </c>
      <c r="O58" s="7" t="s">
        <v>356</v>
      </c>
      <c r="P58" s="7" t="s">
        <v>357</v>
      </c>
      <c r="Q58" s="6" t="s">
        <v>31</v>
      </c>
      <c r="R58" s="3" t="s">
        <v>358</v>
      </c>
      <c r="S58" s="9" t="str">
        <f t="shared" si="2"/>
        <v>[{MountingType,Surface Mount},{PackageCase,LED 0402}]</v>
      </c>
    </row>
    <row r="59" spans="1:19" ht="63.75">
      <c r="A59" s="4" t="s">
        <v>327</v>
      </c>
      <c r="B59" s="4"/>
      <c r="C59" s="4" t="s">
        <v>328</v>
      </c>
      <c r="D59" s="4" t="s">
        <v>329</v>
      </c>
      <c r="E59" s="4"/>
      <c r="F59" s="4" t="s">
        <v>330</v>
      </c>
      <c r="G59" s="4" t="s">
        <v>359</v>
      </c>
      <c r="H59" s="4" t="s">
        <v>360</v>
      </c>
      <c r="I59" s="4" t="s">
        <v>333</v>
      </c>
      <c r="J59" s="4" t="s">
        <v>361</v>
      </c>
      <c r="K59" s="3">
        <v>7</v>
      </c>
      <c r="L59" s="3">
        <v>11.202</v>
      </c>
      <c r="M59" s="3" t="s">
        <v>52</v>
      </c>
      <c r="N59" s="3" t="s">
        <v>45</v>
      </c>
      <c r="O59" s="7" t="s">
        <v>362</v>
      </c>
      <c r="P59" s="7" t="s">
        <v>363</v>
      </c>
      <c r="Q59" s="6" t="s">
        <v>31</v>
      </c>
      <c r="R59" s="3" t="s">
        <v>358</v>
      </c>
      <c r="S59" s="9" t="str">
        <f t="shared" si="2"/>
        <v>[{MountingType,Surface Mount},{PackageCase,LED 0402}]</v>
      </c>
    </row>
    <row r="60" spans="1:19" ht="63.75">
      <c r="A60" s="4" t="s">
        <v>327</v>
      </c>
      <c r="B60" s="4"/>
      <c r="C60" s="4" t="s">
        <v>328</v>
      </c>
      <c r="D60" s="4" t="s">
        <v>329</v>
      </c>
      <c r="E60" s="4"/>
      <c r="F60" s="4" t="s">
        <v>330</v>
      </c>
      <c r="G60" s="4" t="s">
        <v>364</v>
      </c>
      <c r="H60" s="4" t="s">
        <v>365</v>
      </c>
      <c r="I60" s="4" t="s">
        <v>333</v>
      </c>
      <c r="J60" s="4" t="s">
        <v>366</v>
      </c>
      <c r="K60" s="3">
        <v>2</v>
      </c>
      <c r="L60" s="3">
        <v>14.002500000000001</v>
      </c>
      <c r="M60" s="3" t="s">
        <v>52</v>
      </c>
      <c r="N60" s="3" t="s">
        <v>45</v>
      </c>
      <c r="O60" s="7" t="s">
        <v>367</v>
      </c>
      <c r="P60" s="7" t="s">
        <v>368</v>
      </c>
      <c r="Q60" s="6" t="s">
        <v>31</v>
      </c>
      <c r="R60" s="3" t="s">
        <v>358</v>
      </c>
      <c r="S60" s="9" t="str">
        <f t="shared" si="2"/>
        <v>[{MountingType,Surface Mount},{PackageCase,LED 0402}]</v>
      </c>
    </row>
    <row r="61" spans="1:19" ht="63.75">
      <c r="A61" s="4" t="s">
        <v>327</v>
      </c>
      <c r="B61" s="4"/>
      <c r="C61" s="4" t="s">
        <v>328</v>
      </c>
      <c r="D61" s="4" t="s">
        <v>329</v>
      </c>
      <c r="E61" s="4"/>
      <c r="F61" s="4" t="s">
        <v>330</v>
      </c>
      <c r="G61" s="4" t="s">
        <v>369</v>
      </c>
      <c r="H61" s="4" t="s">
        <v>360</v>
      </c>
      <c r="I61" s="4" t="s">
        <v>333</v>
      </c>
      <c r="J61" s="4" t="s">
        <v>370</v>
      </c>
      <c r="K61" s="3">
        <v>6</v>
      </c>
      <c r="L61" s="3">
        <v>11.202</v>
      </c>
      <c r="M61" s="3" t="s">
        <v>52</v>
      </c>
      <c r="N61" s="3" t="s">
        <v>45</v>
      </c>
      <c r="O61" s="7" t="s">
        <v>371</v>
      </c>
      <c r="P61" s="7" t="s">
        <v>372</v>
      </c>
      <c r="Q61" s="6" t="s">
        <v>31</v>
      </c>
      <c r="R61" s="3" t="s">
        <v>358</v>
      </c>
      <c r="S61" s="9" t="str">
        <f t="shared" si="2"/>
        <v>[{MountingType,Surface Mount},{PackageCase,LED 0402}]</v>
      </c>
    </row>
    <row r="62" spans="1:19" ht="63.75">
      <c r="A62" s="4" t="s">
        <v>327</v>
      </c>
      <c r="B62" s="4"/>
      <c r="C62" s="4" t="s">
        <v>328</v>
      </c>
      <c r="D62" s="4" t="s">
        <v>329</v>
      </c>
      <c r="E62" s="4"/>
      <c r="F62" s="4" t="s">
        <v>330</v>
      </c>
      <c r="G62" s="4" t="s">
        <v>373</v>
      </c>
      <c r="H62" s="4" t="s">
        <v>374</v>
      </c>
      <c r="I62" s="4" t="s">
        <v>333</v>
      </c>
      <c r="J62" s="4" t="s">
        <v>334</v>
      </c>
      <c r="K62" s="3">
        <v>50</v>
      </c>
      <c r="L62" s="3">
        <v>103.6185</v>
      </c>
      <c r="M62" s="3" t="s">
        <v>52</v>
      </c>
      <c r="N62" s="3" t="s">
        <v>45</v>
      </c>
      <c r="O62" s="12" t="s">
        <v>375</v>
      </c>
      <c r="P62" s="7" t="s">
        <v>376</v>
      </c>
      <c r="Q62" s="6" t="s">
        <v>31</v>
      </c>
      <c r="R62" s="3" t="s">
        <v>358</v>
      </c>
      <c r="S62" s="9" t="str">
        <f t="shared" si="2"/>
        <v>[{MountingType,Surface Mount},{PackageCase,LED 0402}]</v>
      </c>
    </row>
    <row r="63" spans="1:19" ht="63.75">
      <c r="A63" s="4" t="s">
        <v>327</v>
      </c>
      <c r="B63" s="4"/>
      <c r="C63" s="4" t="s">
        <v>328</v>
      </c>
      <c r="D63" s="4" t="s">
        <v>329</v>
      </c>
      <c r="E63" s="4"/>
      <c r="F63" s="4" t="s">
        <v>330</v>
      </c>
      <c r="G63" s="4" t="s">
        <v>377</v>
      </c>
      <c r="H63" s="4" t="s">
        <v>378</v>
      </c>
      <c r="I63" s="4" t="s">
        <v>333</v>
      </c>
      <c r="J63" s="4" t="s">
        <v>379</v>
      </c>
      <c r="K63" s="3">
        <v>37</v>
      </c>
      <c r="L63" s="3">
        <v>0</v>
      </c>
      <c r="M63" s="3" t="s">
        <v>52</v>
      </c>
      <c r="N63" s="3" t="s">
        <v>45</v>
      </c>
      <c r="O63" s="7" t="s">
        <v>380</v>
      </c>
      <c r="P63" s="7" t="s">
        <v>381</v>
      </c>
      <c r="Q63" s="6" t="s">
        <v>31</v>
      </c>
      <c r="R63" s="3" t="s">
        <v>382</v>
      </c>
      <c r="S63" s="9" t="str">
        <f t="shared" si="2"/>
        <v>[{MountingType,Surface Mount},{PackageCase,LED 4014}]</v>
      </c>
    </row>
    <row r="64" spans="1:19" ht="63.75">
      <c r="A64" s="4" t="s">
        <v>327</v>
      </c>
      <c r="B64" s="4"/>
      <c r="C64" s="4" t="s">
        <v>328</v>
      </c>
      <c r="D64" s="4" t="s">
        <v>329</v>
      </c>
      <c r="E64" s="4"/>
      <c r="F64" s="4" t="s">
        <v>330</v>
      </c>
      <c r="G64" s="4" t="s">
        <v>383</v>
      </c>
      <c r="H64" s="4" t="s">
        <v>384</v>
      </c>
      <c r="I64" s="4" t="s">
        <v>333</v>
      </c>
      <c r="J64" s="4" t="s">
        <v>385</v>
      </c>
      <c r="K64" s="3">
        <v>25</v>
      </c>
      <c r="L64" s="3">
        <v>0</v>
      </c>
      <c r="M64" s="3" t="s">
        <v>52</v>
      </c>
      <c r="N64" s="3" t="s">
        <v>45</v>
      </c>
      <c r="O64" s="7" t="s">
        <v>386</v>
      </c>
      <c r="P64" s="7" t="s">
        <v>387</v>
      </c>
      <c r="Q64" s="6" t="s">
        <v>31</v>
      </c>
      <c r="R64" s="3"/>
      <c r="S64" s="9" t="str">
        <f t="shared" ref="S64" si="3">CONCATENATE("[","{","MountingType",",",Q64,"}","]")</f>
        <v>[{MountingType,Surface Mount}]</v>
      </c>
    </row>
    <row r="65" spans="1:19" ht="63.75">
      <c r="A65" s="4" t="s">
        <v>327</v>
      </c>
      <c r="B65" s="4"/>
      <c r="C65" s="4" t="s">
        <v>328</v>
      </c>
      <c r="D65" s="4" t="s">
        <v>329</v>
      </c>
      <c r="E65" s="4"/>
      <c r="F65" s="4" t="s">
        <v>330</v>
      </c>
      <c r="G65" s="4" t="s">
        <v>388</v>
      </c>
      <c r="H65" s="4" t="s">
        <v>332</v>
      </c>
      <c r="I65" s="4" t="s">
        <v>333</v>
      </c>
      <c r="J65" s="4" t="s">
        <v>389</v>
      </c>
      <c r="K65" s="3">
        <v>69</v>
      </c>
      <c r="L65" s="3">
        <v>84.015000000000001</v>
      </c>
      <c r="M65" s="3" t="s">
        <v>52</v>
      </c>
      <c r="N65" s="3" t="s">
        <v>45</v>
      </c>
      <c r="O65" s="7" t="s">
        <v>390</v>
      </c>
      <c r="P65" s="7" t="s">
        <v>391</v>
      </c>
      <c r="Q65" s="6" t="s">
        <v>31</v>
      </c>
      <c r="R65" s="3" t="s">
        <v>337</v>
      </c>
      <c r="S65" s="9" t="str">
        <f t="shared" si="2"/>
        <v>[{MountingType,Surface Mount},{PackageCase,LED 0603 }]</v>
      </c>
    </row>
    <row r="66" spans="1:19" ht="63.75">
      <c r="A66" s="4" t="s">
        <v>327</v>
      </c>
      <c r="B66" s="4"/>
      <c r="C66" s="4" t="s">
        <v>328</v>
      </c>
      <c r="D66" s="4" t="s">
        <v>329</v>
      </c>
      <c r="E66" s="4"/>
      <c r="F66" s="4" t="s">
        <v>330</v>
      </c>
      <c r="G66" s="4" t="s">
        <v>392</v>
      </c>
      <c r="H66" s="4" t="s">
        <v>349</v>
      </c>
      <c r="I66" s="4" t="s">
        <v>333</v>
      </c>
      <c r="J66" s="4" t="s">
        <v>393</v>
      </c>
      <c r="K66" s="3">
        <v>15</v>
      </c>
      <c r="L66" s="3">
        <v>5.601</v>
      </c>
      <c r="M66" s="3" t="s">
        <v>52</v>
      </c>
      <c r="N66" s="3" t="s">
        <v>45</v>
      </c>
      <c r="O66" s="7" t="s">
        <v>394</v>
      </c>
      <c r="P66" s="7" t="s">
        <v>395</v>
      </c>
      <c r="Q66" s="6" t="s">
        <v>31</v>
      </c>
      <c r="R66" s="3" t="s">
        <v>337</v>
      </c>
      <c r="S66" s="9" t="str">
        <f t="shared" si="2"/>
        <v>[{MountingType,Surface Mount},{PackageCase,LED 0603 }]</v>
      </c>
    </row>
    <row r="67" spans="1:19" ht="63.75">
      <c r="A67" s="4" t="s">
        <v>327</v>
      </c>
      <c r="B67" s="4"/>
      <c r="C67" s="4" t="s">
        <v>328</v>
      </c>
      <c r="D67" s="4" t="s">
        <v>329</v>
      </c>
      <c r="E67" s="4"/>
      <c r="F67" s="4" t="s">
        <v>330</v>
      </c>
      <c r="G67" s="4" t="s">
        <v>396</v>
      </c>
      <c r="H67" s="4" t="s">
        <v>332</v>
      </c>
      <c r="I67" s="4" t="s">
        <v>333</v>
      </c>
      <c r="J67" s="4" t="s">
        <v>397</v>
      </c>
      <c r="K67" s="3">
        <v>15</v>
      </c>
      <c r="L67" s="3">
        <v>72.813000000000002</v>
      </c>
      <c r="M67" s="3" t="s">
        <v>52</v>
      </c>
      <c r="N67" s="3" t="s">
        <v>45</v>
      </c>
      <c r="O67" s="7" t="s">
        <v>398</v>
      </c>
      <c r="P67" s="7" t="s">
        <v>399</v>
      </c>
      <c r="Q67" s="6" t="s">
        <v>31</v>
      </c>
      <c r="R67" s="3" t="s">
        <v>337</v>
      </c>
      <c r="S67" s="9" t="str">
        <f t="shared" si="2"/>
        <v>[{MountingType,Surface Mount},{PackageCase,LED 0603 }]</v>
      </c>
    </row>
    <row r="68" spans="1:19" ht="63.75">
      <c r="A68" s="4" t="s">
        <v>327</v>
      </c>
      <c r="B68" s="4"/>
      <c r="C68" s="4" t="s">
        <v>328</v>
      </c>
      <c r="D68" s="4" t="s">
        <v>329</v>
      </c>
      <c r="E68" s="4"/>
      <c r="F68" s="4" t="s">
        <v>330</v>
      </c>
      <c r="G68" s="4" t="s">
        <v>400</v>
      </c>
      <c r="H68" s="4" t="s">
        <v>360</v>
      </c>
      <c r="I68" s="4" t="s">
        <v>333</v>
      </c>
      <c r="J68" s="4" t="s">
        <v>401</v>
      </c>
      <c r="K68" s="3">
        <v>35</v>
      </c>
      <c r="L68" s="3">
        <v>5.601</v>
      </c>
      <c r="M68" s="3" t="s">
        <v>52</v>
      </c>
      <c r="N68" s="3" t="s">
        <v>45</v>
      </c>
      <c r="O68" s="7" t="s">
        <v>402</v>
      </c>
      <c r="P68" s="7" t="s">
        <v>403</v>
      </c>
      <c r="Q68" s="6" t="s">
        <v>31</v>
      </c>
      <c r="R68" s="3" t="s">
        <v>337</v>
      </c>
      <c r="S68" s="9" t="str">
        <f t="shared" si="2"/>
        <v>[{MountingType,Surface Mount},{PackageCase,LED 0603 }]</v>
      </c>
    </row>
    <row r="69" spans="1:19" ht="63.75">
      <c r="A69" s="4" t="s">
        <v>327</v>
      </c>
      <c r="B69" s="4"/>
      <c r="C69" s="4" t="s">
        <v>328</v>
      </c>
      <c r="D69" s="4" t="s">
        <v>329</v>
      </c>
      <c r="E69" s="4"/>
      <c r="F69" s="4" t="s">
        <v>330</v>
      </c>
      <c r="G69" s="4" t="s">
        <v>404</v>
      </c>
      <c r="H69" s="4" t="s">
        <v>332</v>
      </c>
      <c r="I69" s="4" t="s">
        <v>333</v>
      </c>
      <c r="J69" s="4" t="s">
        <v>405</v>
      </c>
      <c r="K69" s="3">
        <v>74</v>
      </c>
      <c r="L69" s="3">
        <v>5.601</v>
      </c>
      <c r="M69" s="3" t="s">
        <v>52</v>
      </c>
      <c r="N69" s="3" t="s">
        <v>45</v>
      </c>
      <c r="O69" s="12" t="s">
        <v>406</v>
      </c>
      <c r="P69" s="7" t="s">
        <v>407</v>
      </c>
      <c r="Q69" s="6" t="s">
        <v>31</v>
      </c>
      <c r="R69" s="3" t="s">
        <v>337</v>
      </c>
      <c r="S69" s="9" t="str">
        <f t="shared" si="2"/>
        <v>[{MountingType,Surface Mount},{PackageCase,LED 0603 }]</v>
      </c>
    </row>
    <row r="70" spans="1:19" ht="63.75">
      <c r="A70" s="4" t="s">
        <v>327</v>
      </c>
      <c r="B70" s="4"/>
      <c r="C70" s="4" t="s">
        <v>328</v>
      </c>
      <c r="D70" s="4" t="s">
        <v>329</v>
      </c>
      <c r="E70" s="4"/>
      <c r="F70" s="4" t="s">
        <v>330</v>
      </c>
      <c r="G70" s="4" t="s">
        <v>408</v>
      </c>
      <c r="H70" s="4" t="s">
        <v>384</v>
      </c>
      <c r="I70" s="4" t="s">
        <v>333</v>
      </c>
      <c r="J70" s="4" t="s">
        <v>409</v>
      </c>
      <c r="K70" s="3">
        <v>79</v>
      </c>
      <c r="L70" s="3">
        <v>0</v>
      </c>
      <c r="M70" s="3" t="s">
        <v>52</v>
      </c>
      <c r="N70" s="3" t="s">
        <v>45</v>
      </c>
      <c r="O70" s="7" t="s">
        <v>410</v>
      </c>
      <c r="P70" s="7" t="s">
        <v>411</v>
      </c>
      <c r="Q70" s="6" t="s">
        <v>31</v>
      </c>
      <c r="R70" s="3" t="s">
        <v>412</v>
      </c>
      <c r="S70" s="9" t="str">
        <f t="shared" si="2"/>
        <v>[{MountingType,Surface Mount},{PackageCase,SMD}]</v>
      </c>
    </row>
    <row r="71" spans="1:19" ht="51">
      <c r="A71" s="4" t="s">
        <v>413</v>
      </c>
      <c r="B71" s="17"/>
      <c r="C71" s="17" t="s">
        <v>414</v>
      </c>
      <c r="D71" s="4" t="s">
        <v>329</v>
      </c>
      <c r="E71" s="4"/>
      <c r="F71" s="4" t="s">
        <v>330</v>
      </c>
      <c r="G71" s="4" t="s">
        <v>415</v>
      </c>
      <c r="H71" s="4" t="s">
        <v>416</v>
      </c>
      <c r="I71" s="4" t="s">
        <v>417</v>
      </c>
      <c r="J71" s="4" t="s">
        <v>418</v>
      </c>
      <c r="K71" s="3">
        <v>48</v>
      </c>
      <c r="L71" s="3">
        <v>117.621</v>
      </c>
      <c r="M71" s="3" t="s">
        <v>52</v>
      </c>
      <c r="N71" s="3" t="s">
        <v>45</v>
      </c>
      <c r="O71" s="7" t="s">
        <v>419</v>
      </c>
      <c r="P71" s="7" t="s">
        <v>420</v>
      </c>
      <c r="Q71" s="6" t="s">
        <v>31</v>
      </c>
      <c r="R71" s="3" t="s">
        <v>421</v>
      </c>
      <c r="S71" s="9" t="str">
        <f t="shared" si="2"/>
        <v>[{MountingType,Surface Mount},{PackageCase,DO-214AC (SMA)}]</v>
      </c>
    </row>
    <row r="72" spans="1:19" ht="51">
      <c r="A72" s="4" t="s">
        <v>413</v>
      </c>
      <c r="B72" s="17"/>
      <c r="C72" s="17" t="s">
        <v>414</v>
      </c>
      <c r="D72" s="4" t="s">
        <v>329</v>
      </c>
      <c r="E72" s="4"/>
      <c r="F72" s="4" t="s">
        <v>330</v>
      </c>
      <c r="G72" s="4" t="s">
        <v>422</v>
      </c>
      <c r="H72" s="4" t="s">
        <v>423</v>
      </c>
      <c r="I72" s="4" t="s">
        <v>424</v>
      </c>
      <c r="J72" s="4" t="s">
        <v>425</v>
      </c>
      <c r="K72" s="3">
        <v>3</v>
      </c>
      <c r="L72" s="3">
        <v>114.8205</v>
      </c>
      <c r="M72" s="3" t="s">
        <v>52</v>
      </c>
      <c r="N72" s="3" t="s">
        <v>45</v>
      </c>
      <c r="O72" s="7" t="s">
        <v>426</v>
      </c>
      <c r="P72" s="7" t="s">
        <v>427</v>
      </c>
      <c r="Q72" s="6" t="s">
        <v>31</v>
      </c>
      <c r="R72" s="3" t="s">
        <v>428</v>
      </c>
      <c r="S72" s="9" t="str">
        <f t="shared" si="2"/>
        <v>[{MountingType,Surface Mount},{PackageCase,POWERDI123}]</v>
      </c>
    </row>
    <row r="73" spans="1:19" ht="76.5">
      <c r="A73" s="4" t="s">
        <v>413</v>
      </c>
      <c r="B73" s="17"/>
      <c r="C73" s="17" t="s">
        <v>414</v>
      </c>
      <c r="D73" s="4" t="s">
        <v>429</v>
      </c>
      <c r="E73" s="4"/>
      <c r="F73" s="17" t="s">
        <v>430</v>
      </c>
      <c r="G73" s="4" t="s">
        <v>431</v>
      </c>
      <c r="H73" s="4" t="s">
        <v>432</v>
      </c>
      <c r="I73" s="4" t="s">
        <v>433</v>
      </c>
      <c r="J73" s="4" t="s">
        <v>434</v>
      </c>
      <c r="K73" s="3">
        <v>3</v>
      </c>
      <c r="L73" s="3">
        <v>137.22450000000001</v>
      </c>
      <c r="M73" s="3" t="s">
        <v>52</v>
      </c>
      <c r="N73" s="3" t="s">
        <v>45</v>
      </c>
      <c r="O73" s="7" t="s">
        <v>435</v>
      </c>
      <c r="P73" s="7" t="s">
        <v>436</v>
      </c>
      <c r="Q73" s="6" t="s">
        <v>31</v>
      </c>
      <c r="R73" s="3" t="s">
        <v>437</v>
      </c>
      <c r="S73" s="9" t="str">
        <f t="shared" si="2"/>
        <v>[{MountingType,Surface Mount},{PackageCase,TO-236AB}]</v>
      </c>
    </row>
    <row r="74" spans="1:19" ht="51">
      <c r="A74" s="4" t="s">
        <v>413</v>
      </c>
      <c r="B74" s="17"/>
      <c r="C74" s="17" t="s">
        <v>414</v>
      </c>
      <c r="D74" s="4" t="s">
        <v>329</v>
      </c>
      <c r="E74" s="4"/>
      <c r="F74" s="4" t="s">
        <v>330</v>
      </c>
      <c r="G74" s="4" t="s">
        <v>438</v>
      </c>
      <c r="H74" s="4" t="s">
        <v>432</v>
      </c>
      <c r="I74" s="4" t="s">
        <v>424</v>
      </c>
      <c r="J74" s="4" t="s">
        <v>439</v>
      </c>
      <c r="K74" s="3">
        <v>19</v>
      </c>
      <c r="L74" s="3">
        <v>64.411500000000004</v>
      </c>
      <c r="M74" s="3" t="s">
        <v>52</v>
      </c>
      <c r="N74" s="3" t="s">
        <v>45</v>
      </c>
      <c r="O74" s="7" t="s">
        <v>440</v>
      </c>
      <c r="P74" s="7" t="s">
        <v>436</v>
      </c>
      <c r="Q74" s="6" t="s">
        <v>31</v>
      </c>
      <c r="R74" s="3" t="s">
        <v>441</v>
      </c>
      <c r="S74" s="9" t="str">
        <f t="shared" si="2"/>
        <v>[{MountingType,Surface Mount},{PackageCase,TO236AB}]</v>
      </c>
    </row>
    <row r="75" spans="1:19" ht="51">
      <c r="A75" s="4" t="s">
        <v>413</v>
      </c>
      <c r="B75" s="17"/>
      <c r="C75" s="17" t="s">
        <v>414</v>
      </c>
      <c r="D75" s="4" t="s">
        <v>329</v>
      </c>
      <c r="E75" s="4"/>
      <c r="F75" s="4" t="s">
        <v>330</v>
      </c>
      <c r="G75" s="4" t="s">
        <v>442</v>
      </c>
      <c r="H75" s="4" t="s">
        <v>423</v>
      </c>
      <c r="I75" s="4" t="s">
        <v>424</v>
      </c>
      <c r="J75" s="4" t="s">
        <v>443</v>
      </c>
      <c r="K75" s="3">
        <v>3</v>
      </c>
      <c r="L75" s="3">
        <v>72.813000000000002</v>
      </c>
      <c r="M75" s="3" t="s">
        <v>52</v>
      </c>
      <c r="N75" s="3" t="s">
        <v>45</v>
      </c>
      <c r="O75" s="7" t="s">
        <v>444</v>
      </c>
      <c r="P75" s="7" t="s">
        <v>445</v>
      </c>
      <c r="Q75" s="6" t="s">
        <v>31</v>
      </c>
      <c r="R75" s="3" t="s">
        <v>446</v>
      </c>
      <c r="S75" s="9" t="str">
        <f t="shared" si="2"/>
        <v>[{MountingType,Surface Mount},{PackageCase,SMA}]</v>
      </c>
    </row>
    <row r="76" spans="1:19" ht="51">
      <c r="A76" s="4" t="s">
        <v>413</v>
      </c>
      <c r="B76" s="17"/>
      <c r="C76" s="17" t="s">
        <v>414</v>
      </c>
      <c r="D76" s="4" t="s">
        <v>329</v>
      </c>
      <c r="E76" s="4"/>
      <c r="F76" s="4" t="s">
        <v>330</v>
      </c>
      <c r="G76" s="4" t="s">
        <v>447</v>
      </c>
      <c r="H76" s="4" t="s">
        <v>432</v>
      </c>
      <c r="I76" s="4" t="s">
        <v>424</v>
      </c>
      <c r="J76" s="4" t="s">
        <v>448</v>
      </c>
      <c r="K76" s="3">
        <v>39</v>
      </c>
      <c r="L76" s="3">
        <v>117.621</v>
      </c>
      <c r="M76" s="3" t="s">
        <v>52</v>
      </c>
      <c r="N76" s="3" t="s">
        <v>45</v>
      </c>
      <c r="O76" s="7" t="s">
        <v>449</v>
      </c>
      <c r="P76" s="7" t="s">
        <v>450</v>
      </c>
      <c r="Q76" s="6" t="s">
        <v>31</v>
      </c>
      <c r="R76" s="3" t="s">
        <v>451</v>
      </c>
      <c r="S76" s="9" t="str">
        <f t="shared" si="2"/>
        <v>[{MountingType,Surface Mount},{PackageCase,SOD-123W}]</v>
      </c>
    </row>
    <row r="77" spans="1:19" ht="51">
      <c r="A77" s="4" t="s">
        <v>413</v>
      </c>
      <c r="B77" s="17"/>
      <c r="C77" s="17" t="s">
        <v>414</v>
      </c>
      <c r="D77" s="4" t="s">
        <v>329</v>
      </c>
      <c r="E77" s="4"/>
      <c r="F77" s="4" t="s">
        <v>330</v>
      </c>
      <c r="G77" s="4" t="s">
        <v>452</v>
      </c>
      <c r="H77" s="4" t="s">
        <v>416</v>
      </c>
      <c r="I77" s="4" t="s">
        <v>417</v>
      </c>
      <c r="J77" s="4" t="s">
        <v>453</v>
      </c>
      <c r="K77" s="3">
        <v>5</v>
      </c>
      <c r="L77" s="3">
        <v>140.02500000000001</v>
      </c>
      <c r="M77" s="3" t="s">
        <v>52</v>
      </c>
      <c r="N77" s="3" t="s">
        <v>45</v>
      </c>
      <c r="O77" s="12" t="s">
        <v>454</v>
      </c>
      <c r="P77" s="7" t="s">
        <v>455</v>
      </c>
      <c r="Q77" s="6" t="s">
        <v>31</v>
      </c>
      <c r="R77" s="3" t="s">
        <v>456</v>
      </c>
      <c r="S77" s="9" t="str">
        <f t="shared" si="2"/>
        <v>[{MountingType,Surface Mount},{PackageCase,DO-216AA}]</v>
      </c>
    </row>
    <row r="78" spans="1:19" ht="51">
      <c r="A78" s="4" t="s">
        <v>413</v>
      </c>
      <c r="B78" s="17"/>
      <c r="C78" s="17" t="s">
        <v>414</v>
      </c>
      <c r="D78" s="4" t="s">
        <v>329</v>
      </c>
      <c r="E78" s="4"/>
      <c r="F78" s="4" t="s">
        <v>330</v>
      </c>
      <c r="G78" s="4" t="s">
        <v>457</v>
      </c>
      <c r="H78" s="4" t="s">
        <v>416</v>
      </c>
      <c r="I78" s="4" t="s">
        <v>417</v>
      </c>
      <c r="J78" s="4" t="s">
        <v>458</v>
      </c>
      <c r="K78" s="3">
        <v>13</v>
      </c>
      <c r="L78" s="3">
        <v>123.22200000000001</v>
      </c>
      <c r="M78" s="3" t="s">
        <v>52</v>
      </c>
      <c r="N78" s="3" t="s">
        <v>45</v>
      </c>
      <c r="O78" s="12" t="s">
        <v>459</v>
      </c>
      <c r="P78" s="7" t="s">
        <v>460</v>
      </c>
      <c r="Q78" s="6" t="s">
        <v>31</v>
      </c>
      <c r="R78" s="3" t="s">
        <v>461</v>
      </c>
      <c r="S78" s="9" t="str">
        <f t="shared" si="2"/>
        <v>[{MountingType,Surface Mount},{PackageCase,SOD123FL}]</v>
      </c>
    </row>
    <row r="79" spans="1:19" ht="51">
      <c r="A79" s="4" t="s">
        <v>413</v>
      </c>
      <c r="B79" s="17"/>
      <c r="C79" s="17" t="s">
        <v>414</v>
      </c>
      <c r="D79" s="4" t="s">
        <v>329</v>
      </c>
      <c r="E79" s="4"/>
      <c r="F79" s="4" t="s">
        <v>330</v>
      </c>
      <c r="G79" s="4" t="s">
        <v>462</v>
      </c>
      <c r="H79" s="4" t="s">
        <v>463</v>
      </c>
      <c r="I79" s="4" t="s">
        <v>424</v>
      </c>
      <c r="J79" s="4" t="s">
        <v>464</v>
      </c>
      <c r="K79" s="3">
        <v>5</v>
      </c>
      <c r="L79" s="3">
        <v>170.8305</v>
      </c>
      <c r="M79" s="3" t="s">
        <v>52</v>
      </c>
      <c r="N79" s="3" t="s">
        <v>45</v>
      </c>
      <c r="O79" s="7" t="s">
        <v>465</v>
      </c>
      <c r="P79" s="7" t="s">
        <v>466</v>
      </c>
      <c r="Q79" s="6" t="s">
        <v>31</v>
      </c>
      <c r="R79" s="3" t="s">
        <v>467</v>
      </c>
      <c r="S79" s="9" t="str">
        <f t="shared" si="2"/>
        <v>[{MountingType,Surface Mount},{PackageCase,DO-214AB (SMC)}]</v>
      </c>
    </row>
    <row r="80" spans="1:19" ht="51">
      <c r="A80" s="4" t="s">
        <v>413</v>
      </c>
      <c r="B80" s="17"/>
      <c r="C80" s="17" t="s">
        <v>414</v>
      </c>
      <c r="D80" s="4" t="s">
        <v>329</v>
      </c>
      <c r="E80" s="4"/>
      <c r="F80" s="4" t="s">
        <v>330</v>
      </c>
      <c r="G80" s="4" t="s">
        <v>468</v>
      </c>
      <c r="H80" s="4" t="s">
        <v>416</v>
      </c>
      <c r="I80" s="4" t="s">
        <v>469</v>
      </c>
      <c r="J80" s="4" t="s">
        <v>470</v>
      </c>
      <c r="K80" s="3">
        <v>6</v>
      </c>
      <c r="L80" s="3">
        <v>67.212000000000003</v>
      </c>
      <c r="M80" s="3" t="s">
        <v>52</v>
      </c>
      <c r="N80" s="3" t="s">
        <v>45</v>
      </c>
      <c r="O80" s="12" t="s">
        <v>471</v>
      </c>
      <c r="P80" s="7" t="s">
        <v>472</v>
      </c>
      <c r="Q80" s="6" t="s">
        <v>31</v>
      </c>
      <c r="R80" s="3" t="s">
        <v>473</v>
      </c>
      <c r="S80" s="9" t="str">
        <f t="shared" si="2"/>
        <v>[{MountingType,Surface Mount},{PackageCase,SOD-123}]</v>
      </c>
    </row>
    <row r="81" spans="1:19">
      <c r="A81" s="4" t="s">
        <v>474</v>
      </c>
      <c r="B81" s="4"/>
      <c r="C81" s="3" t="s">
        <v>475</v>
      </c>
      <c r="D81" s="4" t="s">
        <v>476</v>
      </c>
      <c r="E81" s="4"/>
      <c r="F81" s="3" t="s">
        <v>330</v>
      </c>
      <c r="G81" s="4" t="s">
        <v>477</v>
      </c>
      <c r="H81" s="4" t="s">
        <v>416</v>
      </c>
      <c r="I81" s="4" t="s">
        <v>478</v>
      </c>
      <c r="J81" s="4" t="s">
        <v>479</v>
      </c>
      <c r="K81" s="3">
        <v>16</v>
      </c>
      <c r="L81" s="3">
        <v>72.813000000000002</v>
      </c>
      <c r="M81" s="3" t="s">
        <v>52</v>
      </c>
      <c r="N81" s="3" t="s">
        <v>45</v>
      </c>
      <c r="O81" s="7" t="s">
        <v>480</v>
      </c>
      <c r="P81" s="7" t="s">
        <v>481</v>
      </c>
      <c r="Q81" s="6" t="s">
        <v>31</v>
      </c>
      <c r="R81" s="3" t="s">
        <v>482</v>
      </c>
      <c r="S81" s="9" t="str">
        <f t="shared" si="2"/>
        <v>[{MountingType,Surface Mount},{PackageCase,SOD-923}]</v>
      </c>
    </row>
    <row r="82" spans="1:19" ht="51">
      <c r="A82" s="4" t="s">
        <v>413</v>
      </c>
      <c r="B82" s="17"/>
      <c r="C82" s="17" t="s">
        <v>414</v>
      </c>
      <c r="D82" s="4" t="s">
        <v>329</v>
      </c>
      <c r="E82" s="4"/>
      <c r="F82" s="4" t="s">
        <v>330</v>
      </c>
      <c r="G82" s="4" t="s">
        <v>483</v>
      </c>
      <c r="H82" s="4" t="s">
        <v>463</v>
      </c>
      <c r="I82" s="4" t="s">
        <v>469</v>
      </c>
      <c r="J82" s="4" t="s">
        <v>484</v>
      </c>
      <c r="K82" s="3">
        <v>6</v>
      </c>
      <c r="L82" s="3">
        <v>20.891729999999999</v>
      </c>
      <c r="M82" s="3" t="s">
        <v>52</v>
      </c>
      <c r="N82" s="3" t="s">
        <v>45</v>
      </c>
      <c r="O82" s="7" t="s">
        <v>485</v>
      </c>
      <c r="P82" s="7" t="s">
        <v>486</v>
      </c>
      <c r="Q82" s="6" t="s">
        <v>31</v>
      </c>
      <c r="R82" s="3" t="s">
        <v>487</v>
      </c>
      <c r="S82" s="9" t="str">
        <f t="shared" si="2"/>
        <v>[{MountingType,Surface Mount},{PackageCase,SOD-123FL}]</v>
      </c>
    </row>
    <row r="83" spans="1:19" ht="51">
      <c r="A83" s="4" t="s">
        <v>413</v>
      </c>
      <c r="B83" s="17"/>
      <c r="C83" s="17" t="s">
        <v>414</v>
      </c>
      <c r="D83" s="4" t="s">
        <v>329</v>
      </c>
      <c r="E83" s="4"/>
      <c r="F83" s="4" t="s">
        <v>330</v>
      </c>
      <c r="G83" s="4" t="s">
        <v>488</v>
      </c>
      <c r="H83" s="4" t="s">
        <v>416</v>
      </c>
      <c r="I83" s="4" t="s">
        <v>417</v>
      </c>
      <c r="J83" s="4" t="s">
        <v>489</v>
      </c>
      <c r="K83" s="3">
        <v>5</v>
      </c>
      <c r="L83" s="3">
        <v>37.946775000000002</v>
      </c>
      <c r="M83" s="3" t="s">
        <v>52</v>
      </c>
      <c r="N83" s="3" t="s">
        <v>45</v>
      </c>
      <c r="O83" s="12" t="s">
        <v>490</v>
      </c>
      <c r="P83" s="7" t="s">
        <v>491</v>
      </c>
      <c r="Q83" s="6" t="s">
        <v>31</v>
      </c>
      <c r="R83" s="3" t="s">
        <v>487</v>
      </c>
      <c r="S83" s="9" t="str">
        <f t="shared" si="2"/>
        <v>[{MountingType,Surface Mount},{PackageCase,SOD-123FL}]</v>
      </c>
    </row>
    <row r="84" spans="1:19" ht="51">
      <c r="A84" s="4" t="s">
        <v>413</v>
      </c>
      <c r="B84" s="17"/>
      <c r="C84" s="17" t="s">
        <v>414</v>
      </c>
      <c r="D84" s="4" t="s">
        <v>329</v>
      </c>
      <c r="E84" s="4"/>
      <c r="F84" s="4" t="s">
        <v>330</v>
      </c>
      <c r="G84" s="4" t="s">
        <v>492</v>
      </c>
      <c r="H84" s="4" t="s">
        <v>493</v>
      </c>
      <c r="I84" s="4" t="s">
        <v>469</v>
      </c>
      <c r="J84" s="4" t="s">
        <v>494</v>
      </c>
      <c r="K84" s="3">
        <v>5</v>
      </c>
      <c r="L84" s="3">
        <v>0</v>
      </c>
      <c r="M84" s="3" t="s">
        <v>52</v>
      </c>
      <c r="N84" s="3" t="s">
        <v>45</v>
      </c>
      <c r="O84" s="7" t="s">
        <v>495</v>
      </c>
      <c r="P84" s="7" t="s">
        <v>496</v>
      </c>
      <c r="Q84" s="6" t="s">
        <v>31</v>
      </c>
      <c r="R84" s="3" t="s">
        <v>497</v>
      </c>
      <c r="S84" s="9" t="str">
        <f t="shared" si="2"/>
        <v>[{MountingType,Surface Mount},{PackageCase,SOD-323}]</v>
      </c>
    </row>
    <row r="85" spans="1:19" ht="51">
      <c r="A85" s="4" t="s">
        <v>413</v>
      </c>
      <c r="B85" s="17"/>
      <c r="C85" s="17" t="s">
        <v>414</v>
      </c>
      <c r="D85" s="4" t="s">
        <v>329</v>
      </c>
      <c r="E85" s="4"/>
      <c r="F85" s="4" t="s">
        <v>330</v>
      </c>
      <c r="G85" s="4" t="s">
        <v>498</v>
      </c>
      <c r="H85" s="4" t="s">
        <v>432</v>
      </c>
      <c r="I85" s="4" t="s">
        <v>424</v>
      </c>
      <c r="J85" s="4" t="s">
        <v>499</v>
      </c>
      <c r="K85" s="3">
        <v>4</v>
      </c>
      <c r="L85" s="3">
        <v>126.02250000000001</v>
      </c>
      <c r="M85" s="3" t="s">
        <v>52</v>
      </c>
      <c r="N85" s="3" t="s">
        <v>45</v>
      </c>
      <c r="O85" s="7" t="s">
        <v>500</v>
      </c>
      <c r="P85" s="7" t="s">
        <v>450</v>
      </c>
      <c r="Q85" s="6" t="s">
        <v>31</v>
      </c>
      <c r="R85" s="3" t="s">
        <v>451</v>
      </c>
      <c r="S85" s="9" t="str">
        <f t="shared" si="2"/>
        <v>[{MountingType,Surface Mount},{PackageCase,SOD-123W}]</v>
      </c>
    </row>
    <row r="86" spans="1:19" ht="51">
      <c r="A86" s="4" t="s">
        <v>413</v>
      </c>
      <c r="B86" s="17"/>
      <c r="C86" s="17" t="s">
        <v>414</v>
      </c>
      <c r="D86" s="4" t="s">
        <v>329</v>
      </c>
      <c r="E86" s="4"/>
      <c r="F86" s="4" t="s">
        <v>330</v>
      </c>
      <c r="G86" s="4" t="s">
        <v>501</v>
      </c>
      <c r="H86" s="4" t="s">
        <v>423</v>
      </c>
      <c r="I86" s="4" t="s">
        <v>424</v>
      </c>
      <c r="J86" s="4" t="s">
        <v>502</v>
      </c>
      <c r="K86" s="3">
        <v>5</v>
      </c>
      <c r="L86" s="3">
        <v>106.41900000000001</v>
      </c>
      <c r="M86" s="3" t="s">
        <v>52</v>
      </c>
      <c r="N86" s="3" t="s">
        <v>45</v>
      </c>
      <c r="O86" s="7" t="s">
        <v>503</v>
      </c>
      <c r="P86" s="7" t="s">
        <v>445</v>
      </c>
      <c r="Q86" s="6" t="s">
        <v>31</v>
      </c>
      <c r="R86" s="3" t="s">
        <v>446</v>
      </c>
      <c r="S86" s="9" t="str">
        <f t="shared" si="2"/>
        <v>[{MountingType,Surface Mount},{PackageCase,SMA}]</v>
      </c>
    </row>
    <row r="87" spans="1:19" ht="63.75">
      <c r="A87" s="4" t="s">
        <v>327</v>
      </c>
      <c r="B87" s="4"/>
      <c r="C87" s="4" t="s">
        <v>328</v>
      </c>
      <c r="D87" s="4" t="s">
        <v>329</v>
      </c>
      <c r="E87" s="4"/>
      <c r="F87" s="4" t="s">
        <v>330</v>
      </c>
      <c r="G87" s="4" t="s">
        <v>504</v>
      </c>
      <c r="H87" s="4" t="s">
        <v>505</v>
      </c>
      <c r="I87" s="4" t="s">
        <v>333</v>
      </c>
      <c r="J87" s="4" t="s">
        <v>506</v>
      </c>
      <c r="K87" s="3">
        <v>10</v>
      </c>
      <c r="L87" s="3">
        <v>11.230005</v>
      </c>
      <c r="M87" s="3" t="s">
        <v>52</v>
      </c>
      <c r="N87" s="3" t="s">
        <v>45</v>
      </c>
      <c r="O87" s="7" t="s">
        <v>507</v>
      </c>
      <c r="P87" s="7" t="s">
        <v>508</v>
      </c>
      <c r="Q87" s="6" t="s">
        <v>31</v>
      </c>
      <c r="R87" s="3" t="s">
        <v>358</v>
      </c>
      <c r="S87" s="9" t="str">
        <f t="shared" si="2"/>
        <v>[{MountingType,Surface Mount},{PackageCase,LED 0402}]</v>
      </c>
    </row>
    <row r="88" spans="1:19" ht="51">
      <c r="A88" s="4" t="s">
        <v>413</v>
      </c>
      <c r="B88" s="17"/>
      <c r="C88" s="17" t="s">
        <v>414</v>
      </c>
      <c r="D88" s="4" t="s">
        <v>329</v>
      </c>
      <c r="E88" s="4"/>
      <c r="F88" s="4" t="s">
        <v>330</v>
      </c>
      <c r="G88" s="4" t="s">
        <v>509</v>
      </c>
      <c r="H88" s="4" t="s">
        <v>423</v>
      </c>
      <c r="I88" s="4" t="s">
        <v>424</v>
      </c>
      <c r="J88" s="4" t="s">
        <v>510</v>
      </c>
      <c r="K88" s="3">
        <v>5</v>
      </c>
      <c r="L88" s="3">
        <v>120.42150000000001</v>
      </c>
      <c r="M88" s="3" t="s">
        <v>52</v>
      </c>
      <c r="N88" s="3" t="s">
        <v>45</v>
      </c>
      <c r="O88" s="7" t="s">
        <v>511</v>
      </c>
      <c r="P88" s="7" t="s">
        <v>512</v>
      </c>
      <c r="Q88" s="6" t="s">
        <v>31</v>
      </c>
      <c r="R88" s="3" t="s">
        <v>473</v>
      </c>
      <c r="S88" s="9" t="str">
        <f t="shared" si="2"/>
        <v>[{MountingType,Surface Mount},{PackageCase,SOD-123}]</v>
      </c>
    </row>
    <row r="89" spans="1:19" ht="51">
      <c r="A89" s="4" t="s">
        <v>413</v>
      </c>
      <c r="B89" s="17"/>
      <c r="C89" s="17" t="s">
        <v>414</v>
      </c>
      <c r="D89" s="4" t="s">
        <v>329</v>
      </c>
      <c r="E89" s="4"/>
      <c r="F89" s="4" t="s">
        <v>330</v>
      </c>
      <c r="G89" s="4" t="s">
        <v>513</v>
      </c>
      <c r="H89" s="4" t="s">
        <v>463</v>
      </c>
      <c r="I89" s="4" t="s">
        <v>424</v>
      </c>
      <c r="J89" s="4" t="s">
        <v>514</v>
      </c>
      <c r="K89" s="3">
        <v>2</v>
      </c>
      <c r="L89" s="3">
        <v>256.13373000000001</v>
      </c>
      <c r="M89" s="3" t="s">
        <v>52</v>
      </c>
      <c r="N89" s="3" t="s">
        <v>45</v>
      </c>
      <c r="O89" s="12" t="s">
        <v>515</v>
      </c>
      <c r="P89" s="7" t="s">
        <v>516</v>
      </c>
      <c r="Q89" s="6" t="s">
        <v>31</v>
      </c>
      <c r="R89" s="3" t="s">
        <v>517</v>
      </c>
      <c r="S89" s="9" t="str">
        <f t="shared" si="2"/>
        <v>[{MountingType,Surface Mount},{PackageCase,TO-252AA}]</v>
      </c>
    </row>
    <row r="90" spans="1:19" ht="51">
      <c r="A90" s="4" t="s">
        <v>413</v>
      </c>
      <c r="B90" s="17"/>
      <c r="C90" s="17" t="s">
        <v>414</v>
      </c>
      <c r="D90" s="4" t="s">
        <v>329</v>
      </c>
      <c r="E90" s="4"/>
      <c r="F90" s="4" t="s">
        <v>330</v>
      </c>
      <c r="G90" s="4" t="s">
        <v>518</v>
      </c>
      <c r="H90" s="4" t="s">
        <v>423</v>
      </c>
      <c r="I90" s="4" t="s">
        <v>469</v>
      </c>
      <c r="J90" s="4" t="s">
        <v>519</v>
      </c>
      <c r="K90" s="3">
        <v>29</v>
      </c>
      <c r="L90" s="3">
        <v>6.4691549999999998</v>
      </c>
      <c r="M90" s="3" t="s">
        <v>52</v>
      </c>
      <c r="N90" s="3" t="s">
        <v>45</v>
      </c>
      <c r="O90" s="7" t="s">
        <v>520</v>
      </c>
      <c r="P90" s="7" t="s">
        <v>521</v>
      </c>
      <c r="Q90" s="6" t="s">
        <v>31</v>
      </c>
      <c r="R90" s="3" t="s">
        <v>497</v>
      </c>
      <c r="S90" s="9" t="str">
        <f t="shared" si="2"/>
        <v>[{MountingType,Surface Mount},{PackageCase,SOD-323}]</v>
      </c>
    </row>
    <row r="91" spans="1:19" ht="63.75">
      <c r="A91" s="4" t="s">
        <v>327</v>
      </c>
      <c r="B91" s="4"/>
      <c r="C91" s="4" t="s">
        <v>328</v>
      </c>
      <c r="D91" s="4" t="s">
        <v>329</v>
      </c>
      <c r="E91" s="4"/>
      <c r="F91" s="4" t="s">
        <v>330</v>
      </c>
      <c r="G91" s="4" t="s">
        <v>522</v>
      </c>
      <c r="H91" s="4" t="s">
        <v>374</v>
      </c>
      <c r="I91" s="4" t="s">
        <v>333</v>
      </c>
      <c r="J91" s="4" t="s">
        <v>523</v>
      </c>
      <c r="K91" s="3">
        <v>88</v>
      </c>
      <c r="L91" s="3">
        <v>0</v>
      </c>
      <c r="M91" s="3" t="s">
        <v>52</v>
      </c>
      <c r="N91" s="3" t="s">
        <v>45</v>
      </c>
      <c r="O91" s="7" t="s">
        <v>524</v>
      </c>
      <c r="P91" s="7" t="s">
        <v>525</v>
      </c>
      <c r="Q91" s="6" t="s">
        <v>31</v>
      </c>
      <c r="R91" s="3" t="s">
        <v>526</v>
      </c>
      <c r="S91" s="9" t="str">
        <f t="shared" si="2"/>
        <v>[{MountingType,Surface Mount},{PackageCase,0402 (1005 metric)}]</v>
      </c>
    </row>
    <row r="92" spans="1:19" ht="51">
      <c r="A92" s="4" t="s">
        <v>413</v>
      </c>
      <c r="B92" s="17"/>
      <c r="C92" s="17" t="s">
        <v>414</v>
      </c>
      <c r="D92" s="4" t="s">
        <v>329</v>
      </c>
      <c r="E92" s="4"/>
      <c r="F92" s="4" t="s">
        <v>330</v>
      </c>
      <c r="G92" s="4" t="s">
        <v>527</v>
      </c>
      <c r="H92" s="4" t="s">
        <v>423</v>
      </c>
      <c r="I92" s="4" t="s">
        <v>424</v>
      </c>
      <c r="J92" s="4" t="s">
        <v>528</v>
      </c>
      <c r="K92" s="3">
        <v>5</v>
      </c>
      <c r="L92" s="3">
        <v>50.184960000000004</v>
      </c>
      <c r="M92" s="3" t="s">
        <v>52</v>
      </c>
      <c r="N92" s="3" t="s">
        <v>45</v>
      </c>
      <c r="O92" s="7" t="s">
        <v>529</v>
      </c>
      <c r="P92" s="7" t="s">
        <v>530</v>
      </c>
      <c r="Q92" s="6" t="s">
        <v>31</v>
      </c>
      <c r="R92" s="3" t="s">
        <v>531</v>
      </c>
      <c r="S92" s="9" t="str">
        <f t="shared" si="2"/>
        <v>[{MountingType,Surface Mount},{PackageCase,SMB(DO-214AA)}]</v>
      </c>
    </row>
    <row r="93" spans="1:19" ht="51">
      <c r="A93" s="4" t="s">
        <v>532</v>
      </c>
      <c r="B93" s="17"/>
      <c r="C93" s="17" t="s">
        <v>533</v>
      </c>
      <c r="D93" s="4" t="s">
        <v>534</v>
      </c>
      <c r="E93" s="4"/>
      <c r="F93" s="17" t="s">
        <v>535</v>
      </c>
      <c r="G93" s="4" t="s">
        <v>536</v>
      </c>
      <c r="H93" s="4" t="s">
        <v>537</v>
      </c>
      <c r="I93" s="4" t="s">
        <v>538</v>
      </c>
      <c r="J93" s="4" t="s">
        <v>539</v>
      </c>
      <c r="K93" s="3">
        <v>1</v>
      </c>
      <c r="L93" s="3">
        <v>0</v>
      </c>
      <c r="M93" s="3" t="s">
        <v>27</v>
      </c>
      <c r="N93" s="3" t="s">
        <v>540</v>
      </c>
      <c r="O93" s="12" t="s">
        <v>541</v>
      </c>
      <c r="P93" s="7" t="s">
        <v>542</v>
      </c>
      <c r="Q93" s="3" t="s">
        <v>40</v>
      </c>
      <c r="R93" s="3" t="s">
        <v>543</v>
      </c>
      <c r="S93" s="9" t="str">
        <f t="shared" si="2"/>
        <v>[{MountingType,Through Hole},{PackageCase,8-DIP}]</v>
      </c>
    </row>
    <row r="94" spans="1:19" ht="51">
      <c r="A94" s="4" t="s">
        <v>532</v>
      </c>
      <c r="B94" s="17"/>
      <c r="C94" s="17" t="s">
        <v>533</v>
      </c>
      <c r="D94" s="4" t="s">
        <v>544</v>
      </c>
      <c r="E94" s="4"/>
      <c r="F94" s="17" t="s">
        <v>545</v>
      </c>
      <c r="G94" s="4" t="s">
        <v>546</v>
      </c>
      <c r="H94" s="4" t="s">
        <v>547</v>
      </c>
      <c r="I94" s="4" t="s">
        <v>548</v>
      </c>
      <c r="J94" s="4" t="s">
        <v>549</v>
      </c>
      <c r="K94" s="3">
        <v>1</v>
      </c>
      <c r="L94" s="3">
        <v>168.03</v>
      </c>
      <c r="M94" s="3" t="s">
        <v>27</v>
      </c>
      <c r="N94" s="3" t="s">
        <v>550</v>
      </c>
      <c r="O94" s="12" t="s">
        <v>551</v>
      </c>
      <c r="P94" s="7" t="s">
        <v>552</v>
      </c>
      <c r="Q94" s="3" t="s">
        <v>40</v>
      </c>
      <c r="R94" s="3" t="s">
        <v>553</v>
      </c>
      <c r="S94" s="9" t="str">
        <f t="shared" si="2"/>
        <v>[{MountingType,Through Hole},{PackageCase,14-PDIP}]</v>
      </c>
    </row>
    <row r="95" spans="1:19" ht="76.5">
      <c r="A95" s="4" t="s">
        <v>532</v>
      </c>
      <c r="B95" s="17"/>
      <c r="C95" s="17" t="s">
        <v>533</v>
      </c>
      <c r="D95" s="4" t="s">
        <v>554</v>
      </c>
      <c r="E95" s="4"/>
      <c r="F95" s="17" t="s">
        <v>555</v>
      </c>
      <c r="G95" s="4" t="s">
        <v>556</v>
      </c>
      <c r="H95" s="4" t="s">
        <v>547</v>
      </c>
      <c r="I95" s="4" t="s">
        <v>557</v>
      </c>
      <c r="J95" s="4" t="s">
        <v>558</v>
      </c>
      <c r="K95" s="3">
        <v>4</v>
      </c>
      <c r="L95" s="3">
        <v>0</v>
      </c>
      <c r="M95" s="3" t="s">
        <v>27</v>
      </c>
      <c r="N95" s="3" t="s">
        <v>45</v>
      </c>
      <c r="O95" s="12" t="s">
        <v>559</v>
      </c>
      <c r="P95" s="7" t="s">
        <v>560</v>
      </c>
      <c r="Q95" s="3" t="s">
        <v>40</v>
      </c>
      <c r="R95" s="3" t="s">
        <v>543</v>
      </c>
      <c r="S95" s="9" t="str">
        <f t="shared" si="2"/>
        <v>[{MountingType,Through Hole},{PackageCase,8-DIP}]</v>
      </c>
    </row>
    <row r="96" spans="1:19" ht="51">
      <c r="A96" s="4" t="s">
        <v>532</v>
      </c>
      <c r="B96" s="17"/>
      <c r="C96" s="17" t="s">
        <v>533</v>
      </c>
      <c r="D96" s="4" t="s">
        <v>544</v>
      </c>
      <c r="E96" s="4"/>
      <c r="F96" s="17" t="s">
        <v>545</v>
      </c>
      <c r="G96" s="4" t="s">
        <v>561</v>
      </c>
      <c r="H96" s="4" t="s">
        <v>547</v>
      </c>
      <c r="I96" s="4" t="s">
        <v>562</v>
      </c>
      <c r="J96" s="4" t="s">
        <v>563</v>
      </c>
      <c r="K96" s="3">
        <v>1</v>
      </c>
      <c r="L96" s="3">
        <v>179.232</v>
      </c>
      <c r="M96" s="3" t="s">
        <v>27</v>
      </c>
      <c r="N96" s="3" t="s">
        <v>564</v>
      </c>
      <c r="O96" s="12" t="s">
        <v>565</v>
      </c>
      <c r="P96" s="7" t="s">
        <v>566</v>
      </c>
      <c r="Q96" s="3" t="s">
        <v>40</v>
      </c>
      <c r="R96" s="3" t="s">
        <v>567</v>
      </c>
      <c r="S96" s="9" t="str">
        <f t="shared" si="2"/>
        <v>[{MountingType,Through Hole},{PackageCase,16-DIP}]</v>
      </c>
    </row>
    <row r="97" spans="1:19" ht="51">
      <c r="A97" s="4" t="s">
        <v>532</v>
      </c>
      <c r="B97" s="17"/>
      <c r="C97" s="17" t="s">
        <v>533</v>
      </c>
      <c r="D97" s="4" t="s">
        <v>534</v>
      </c>
      <c r="E97" s="4"/>
      <c r="F97" s="17" t="s">
        <v>535</v>
      </c>
      <c r="G97" s="4" t="s">
        <v>568</v>
      </c>
      <c r="H97" s="4" t="s">
        <v>547</v>
      </c>
      <c r="I97" s="4" t="s">
        <v>538</v>
      </c>
      <c r="J97" s="4" t="s">
        <v>569</v>
      </c>
      <c r="K97" s="3">
        <v>3</v>
      </c>
      <c r="L97" s="3">
        <v>134.42400000000001</v>
      </c>
      <c r="M97" s="3" t="s">
        <v>27</v>
      </c>
      <c r="N97" s="3" t="s">
        <v>570</v>
      </c>
      <c r="O97" s="12" t="s">
        <v>571</v>
      </c>
      <c r="P97" s="7" t="s">
        <v>572</v>
      </c>
      <c r="Q97" s="3" t="s">
        <v>40</v>
      </c>
      <c r="R97" s="3" t="s">
        <v>553</v>
      </c>
      <c r="S97" s="9" t="str">
        <f t="shared" si="2"/>
        <v>[{MountingType,Through Hole},{PackageCase,14-PDIP}]</v>
      </c>
    </row>
    <row r="98" spans="1:19" ht="89.25">
      <c r="A98" s="4" t="s">
        <v>532</v>
      </c>
      <c r="B98" s="17"/>
      <c r="C98" s="17" t="s">
        <v>533</v>
      </c>
      <c r="D98" s="4" t="s">
        <v>573</v>
      </c>
      <c r="E98" s="4"/>
      <c r="F98" s="17" t="s">
        <v>574</v>
      </c>
      <c r="G98" s="4" t="s">
        <v>575</v>
      </c>
      <c r="H98" s="4" t="s">
        <v>576</v>
      </c>
      <c r="I98" s="4" t="s">
        <v>577</v>
      </c>
      <c r="J98" s="4" t="s">
        <v>578</v>
      </c>
      <c r="K98" s="3">
        <v>1</v>
      </c>
      <c r="L98" s="3">
        <v>0</v>
      </c>
      <c r="M98" s="3" t="s">
        <v>27</v>
      </c>
      <c r="N98" s="3" t="s">
        <v>45</v>
      </c>
      <c r="O98" s="12" t="s">
        <v>579</v>
      </c>
      <c r="P98" s="7" t="s">
        <v>580</v>
      </c>
      <c r="Q98" s="3" t="s">
        <v>40</v>
      </c>
      <c r="R98" s="3" t="s">
        <v>581</v>
      </c>
      <c r="S98" s="9" t="str">
        <f t="shared" si="2"/>
        <v>[{MountingType,Through Hole},{PackageCase,18-DIP}]</v>
      </c>
    </row>
    <row r="99" spans="1:19" ht="51">
      <c r="A99" s="4" t="s">
        <v>532</v>
      </c>
      <c r="B99" s="17"/>
      <c r="C99" s="17" t="s">
        <v>533</v>
      </c>
      <c r="D99" s="4" t="s">
        <v>544</v>
      </c>
      <c r="E99" s="4"/>
      <c r="F99" s="17" t="s">
        <v>545</v>
      </c>
      <c r="G99" s="4" t="s">
        <v>582</v>
      </c>
      <c r="H99" s="4" t="s">
        <v>416</v>
      </c>
      <c r="I99" s="4" t="s">
        <v>583</v>
      </c>
      <c r="J99" s="4" t="s">
        <v>584</v>
      </c>
      <c r="K99" s="3">
        <v>2</v>
      </c>
      <c r="L99" s="3">
        <v>0</v>
      </c>
      <c r="M99" s="3" t="s">
        <v>27</v>
      </c>
      <c r="N99" s="3" t="s">
        <v>564</v>
      </c>
      <c r="O99" s="12" t="s">
        <v>585</v>
      </c>
      <c r="P99" s="7" t="s">
        <v>566</v>
      </c>
      <c r="Q99" s="3" t="s">
        <v>40</v>
      </c>
      <c r="R99" s="3" t="s">
        <v>567</v>
      </c>
      <c r="S99" s="9" t="str">
        <f t="shared" si="2"/>
        <v>[{MountingType,Through Hole},{PackageCase,16-DIP}]</v>
      </c>
    </row>
    <row r="100" spans="1:19" ht="51">
      <c r="A100" s="4" t="s">
        <v>532</v>
      </c>
      <c r="B100" s="17"/>
      <c r="C100" s="17" t="s">
        <v>533</v>
      </c>
      <c r="D100" s="4" t="s">
        <v>544</v>
      </c>
      <c r="E100" s="4"/>
      <c r="F100" s="17" t="s">
        <v>545</v>
      </c>
      <c r="G100" s="4" t="s">
        <v>586</v>
      </c>
      <c r="H100" s="4" t="s">
        <v>547</v>
      </c>
      <c r="I100" s="4" t="s">
        <v>587</v>
      </c>
      <c r="J100" s="4" t="s">
        <v>588</v>
      </c>
      <c r="K100" s="3">
        <v>1</v>
      </c>
      <c r="L100" s="3">
        <v>235.24199999999999</v>
      </c>
      <c r="M100" s="3" t="s">
        <v>27</v>
      </c>
      <c r="N100" s="3" t="s">
        <v>589</v>
      </c>
      <c r="O100" s="12" t="s">
        <v>590</v>
      </c>
      <c r="P100" s="7" t="s">
        <v>552</v>
      </c>
      <c r="Q100" s="3" t="s">
        <v>40</v>
      </c>
      <c r="R100" s="3" t="s">
        <v>553</v>
      </c>
      <c r="S100" s="9" t="str">
        <f t="shared" si="2"/>
        <v>[{MountingType,Through Hole},{PackageCase,14-PDIP}]</v>
      </c>
    </row>
    <row r="101" spans="1:19" ht="89.25">
      <c r="A101" s="4" t="s">
        <v>532</v>
      </c>
      <c r="B101" s="17"/>
      <c r="C101" s="17" t="s">
        <v>533</v>
      </c>
      <c r="D101" s="4" t="s">
        <v>591</v>
      </c>
      <c r="E101" s="4"/>
      <c r="F101" s="17" t="s">
        <v>592</v>
      </c>
      <c r="G101" s="4" t="s">
        <v>593</v>
      </c>
      <c r="H101" s="4" t="s">
        <v>594</v>
      </c>
      <c r="I101" s="4" t="s">
        <v>595</v>
      </c>
      <c r="J101" s="4" t="s">
        <v>596</v>
      </c>
      <c r="K101" s="3">
        <v>1</v>
      </c>
      <c r="L101" s="3">
        <v>3100</v>
      </c>
      <c r="M101" s="3" t="s">
        <v>27</v>
      </c>
      <c r="N101" s="3" t="s">
        <v>597</v>
      </c>
      <c r="O101" s="12" t="s">
        <v>598</v>
      </c>
      <c r="P101" s="7" t="s">
        <v>599</v>
      </c>
      <c r="Q101" s="3" t="s">
        <v>40</v>
      </c>
      <c r="R101" s="3" t="s">
        <v>543</v>
      </c>
      <c r="S101" s="9" t="str">
        <f t="shared" si="2"/>
        <v>[{MountingType,Through Hole},{PackageCase,8-DIP}]</v>
      </c>
    </row>
    <row r="102" spans="1:19" ht="51">
      <c r="A102" s="4" t="s">
        <v>532</v>
      </c>
      <c r="B102" s="17"/>
      <c r="C102" s="17" t="s">
        <v>533</v>
      </c>
      <c r="D102" s="4" t="s">
        <v>544</v>
      </c>
      <c r="E102" s="4"/>
      <c r="F102" s="17" t="s">
        <v>545</v>
      </c>
      <c r="G102" s="4" t="s">
        <v>600</v>
      </c>
      <c r="H102" s="4" t="s">
        <v>547</v>
      </c>
      <c r="I102" s="4" t="s">
        <v>587</v>
      </c>
      <c r="J102" s="4" t="s">
        <v>601</v>
      </c>
      <c r="K102" s="3">
        <v>1</v>
      </c>
      <c r="L102" s="3">
        <v>473.28449999999998</v>
      </c>
      <c r="M102" s="3" t="s">
        <v>27</v>
      </c>
      <c r="N102" s="3" t="s">
        <v>589</v>
      </c>
      <c r="O102" s="12" t="s">
        <v>602</v>
      </c>
      <c r="P102" s="7" t="s">
        <v>552</v>
      </c>
      <c r="Q102" s="3" t="s">
        <v>40</v>
      </c>
      <c r="R102" s="3" t="s">
        <v>553</v>
      </c>
      <c r="S102" s="9" t="str">
        <f t="shared" si="2"/>
        <v>[{MountingType,Through Hole},{PackageCase,14-PDIP}]</v>
      </c>
    </row>
    <row r="103" spans="1:19" ht="51">
      <c r="A103" s="4" t="s">
        <v>532</v>
      </c>
      <c r="B103" s="17"/>
      <c r="C103" s="17" t="s">
        <v>533</v>
      </c>
      <c r="D103" s="4" t="s">
        <v>544</v>
      </c>
      <c r="E103" s="4"/>
      <c r="F103" s="17" t="s">
        <v>545</v>
      </c>
      <c r="G103" s="4" t="s">
        <v>603</v>
      </c>
      <c r="H103" s="4" t="s">
        <v>547</v>
      </c>
      <c r="I103" s="4" t="s">
        <v>604</v>
      </c>
      <c r="J103" s="4" t="s">
        <v>605</v>
      </c>
      <c r="K103" s="3">
        <v>2</v>
      </c>
      <c r="L103" s="3">
        <v>0</v>
      </c>
      <c r="M103" s="3" t="s">
        <v>27</v>
      </c>
      <c r="N103" s="3" t="s">
        <v>45</v>
      </c>
      <c r="O103" s="12" t="s">
        <v>606</v>
      </c>
      <c r="P103" s="7" t="s">
        <v>607</v>
      </c>
      <c r="Q103" s="3" t="s">
        <v>40</v>
      </c>
      <c r="R103" s="3" t="s">
        <v>608</v>
      </c>
      <c r="S103" s="9" t="str">
        <f t="shared" si="2"/>
        <v>[{MountingType,Through Hole},{PackageCase,24-PDIP}]</v>
      </c>
    </row>
    <row r="104" spans="1:19" ht="76.5">
      <c r="A104" s="4" t="s">
        <v>532</v>
      </c>
      <c r="B104" s="17"/>
      <c r="C104" s="17" t="s">
        <v>533</v>
      </c>
      <c r="D104" s="4" t="s">
        <v>429</v>
      </c>
      <c r="E104" s="4"/>
      <c r="F104" s="17" t="s">
        <v>430</v>
      </c>
      <c r="G104" s="4" t="s">
        <v>609</v>
      </c>
      <c r="H104" s="4" t="s">
        <v>547</v>
      </c>
      <c r="I104" s="4" t="s">
        <v>610</v>
      </c>
      <c r="J104" s="4" t="s">
        <v>611</v>
      </c>
      <c r="K104" s="3">
        <v>15</v>
      </c>
      <c r="L104" s="3">
        <v>240.84300000000002</v>
      </c>
      <c r="M104" s="3" t="s">
        <v>27</v>
      </c>
      <c r="N104" s="3" t="s">
        <v>612</v>
      </c>
      <c r="O104" s="12" t="s">
        <v>613</v>
      </c>
      <c r="P104" s="7" t="s">
        <v>566</v>
      </c>
      <c r="Q104" s="3" t="s">
        <v>40</v>
      </c>
      <c r="R104" s="3" t="s">
        <v>614</v>
      </c>
      <c r="S104" s="9" t="str">
        <f t="shared" si="2"/>
        <v>[{MountingType,Through Hole},{PackageCase,16-PDIP}]</v>
      </c>
    </row>
    <row r="105" spans="1:19" ht="51">
      <c r="A105" s="4" t="s">
        <v>532</v>
      </c>
      <c r="B105" s="17"/>
      <c r="C105" s="17" t="s">
        <v>533</v>
      </c>
      <c r="D105" s="4" t="s">
        <v>534</v>
      </c>
      <c r="E105" s="4"/>
      <c r="F105" s="17" t="s">
        <v>535</v>
      </c>
      <c r="G105" s="4" t="s">
        <v>615</v>
      </c>
      <c r="H105" s="4" t="s">
        <v>616</v>
      </c>
      <c r="I105" s="4" t="s">
        <v>538</v>
      </c>
      <c r="J105" s="4" t="s">
        <v>617</v>
      </c>
      <c r="K105" s="3">
        <v>4</v>
      </c>
      <c r="L105" s="3">
        <v>968.97300000000007</v>
      </c>
      <c r="M105" s="3" t="s">
        <v>27</v>
      </c>
      <c r="N105" s="3" t="s">
        <v>45</v>
      </c>
      <c r="O105" s="12" t="s">
        <v>618</v>
      </c>
      <c r="P105" s="7" t="s">
        <v>619</v>
      </c>
      <c r="Q105" s="3" t="s">
        <v>40</v>
      </c>
      <c r="R105" s="3" t="s">
        <v>543</v>
      </c>
      <c r="S105" s="9" t="str">
        <f t="shared" si="2"/>
        <v>[{MountingType,Through Hole},{PackageCase,8-DIP}]</v>
      </c>
    </row>
    <row r="106" spans="1:19" ht="89.25">
      <c r="A106" s="4" t="s">
        <v>532</v>
      </c>
      <c r="B106" s="17"/>
      <c r="C106" s="17" t="s">
        <v>533</v>
      </c>
      <c r="D106" s="4" t="s">
        <v>573</v>
      </c>
      <c r="E106" s="4"/>
      <c r="F106" s="17" t="s">
        <v>574</v>
      </c>
      <c r="G106" s="4" t="s">
        <v>620</v>
      </c>
      <c r="H106" s="4" t="s">
        <v>416</v>
      </c>
      <c r="I106" s="4" t="s">
        <v>604</v>
      </c>
      <c r="J106" s="4" t="s">
        <v>621</v>
      </c>
      <c r="K106" s="3">
        <v>2</v>
      </c>
      <c r="L106" s="3">
        <v>0</v>
      </c>
      <c r="M106" s="3" t="s">
        <v>27</v>
      </c>
      <c r="N106" s="3" t="s">
        <v>45</v>
      </c>
      <c r="O106" s="12" t="s">
        <v>622</v>
      </c>
      <c r="P106" s="7" t="s">
        <v>623</v>
      </c>
      <c r="Q106" s="3" t="s">
        <v>40</v>
      </c>
      <c r="R106" s="3" t="s">
        <v>608</v>
      </c>
      <c r="S106" s="9" t="str">
        <f t="shared" si="2"/>
        <v>[{MountingType,Through Hole},{PackageCase,24-PDIP}]</v>
      </c>
    </row>
    <row r="107" spans="1:19" ht="76.5">
      <c r="A107" s="4" t="s">
        <v>532</v>
      </c>
      <c r="B107" s="17"/>
      <c r="C107" s="17" t="s">
        <v>533</v>
      </c>
      <c r="D107" s="4" t="s">
        <v>624</v>
      </c>
      <c r="E107" s="4"/>
      <c r="F107" s="17" t="s">
        <v>625</v>
      </c>
      <c r="G107" s="4" t="s">
        <v>626</v>
      </c>
      <c r="H107" s="3" t="s">
        <v>627</v>
      </c>
      <c r="I107" s="4" t="s">
        <v>628</v>
      </c>
      <c r="J107" s="4" t="s">
        <v>629</v>
      </c>
      <c r="K107" s="3">
        <v>1</v>
      </c>
      <c r="L107" s="3">
        <v>0</v>
      </c>
      <c r="M107" s="3" t="s">
        <v>27</v>
      </c>
      <c r="N107" s="3" t="s">
        <v>45</v>
      </c>
      <c r="O107" s="12" t="s">
        <v>630</v>
      </c>
      <c r="P107" s="7" t="s">
        <v>542</v>
      </c>
      <c r="Q107" s="3" t="s">
        <v>40</v>
      </c>
      <c r="R107" s="3" t="s">
        <v>543</v>
      </c>
      <c r="S107" s="9" t="str">
        <f t="shared" si="2"/>
        <v>[{MountingType,Through Hole},{PackageCase,8-DIP}]</v>
      </c>
    </row>
    <row r="108" spans="1:19" ht="89.25">
      <c r="A108" s="4" t="s">
        <v>532</v>
      </c>
      <c r="B108" s="17"/>
      <c r="C108" s="17" t="s">
        <v>533</v>
      </c>
      <c r="D108" s="4" t="s">
        <v>573</v>
      </c>
      <c r="E108" s="4"/>
      <c r="F108" s="17" t="s">
        <v>574</v>
      </c>
      <c r="G108" s="4" t="s">
        <v>631</v>
      </c>
      <c r="H108" s="4" t="s">
        <v>576</v>
      </c>
      <c r="I108" s="4" t="s">
        <v>632</v>
      </c>
      <c r="J108" s="4" t="s">
        <v>633</v>
      </c>
      <c r="K108" s="3">
        <v>2</v>
      </c>
      <c r="L108" s="3">
        <v>0</v>
      </c>
      <c r="M108" s="3" t="s">
        <v>27</v>
      </c>
      <c r="N108" s="3" t="s">
        <v>45</v>
      </c>
      <c r="O108" s="12" t="s">
        <v>634</v>
      </c>
      <c r="P108" s="7" t="s">
        <v>635</v>
      </c>
      <c r="Q108" s="3" t="s">
        <v>40</v>
      </c>
      <c r="R108" s="3" t="s">
        <v>581</v>
      </c>
      <c r="S108" s="9" t="str">
        <f t="shared" si="2"/>
        <v>[{MountingType,Through Hole},{PackageCase,18-DIP}]</v>
      </c>
    </row>
    <row r="109" spans="1:19" ht="89.25">
      <c r="A109" s="4" t="s">
        <v>532</v>
      </c>
      <c r="B109" s="17"/>
      <c r="C109" s="17" t="s">
        <v>533</v>
      </c>
      <c r="D109" s="4" t="s">
        <v>591</v>
      </c>
      <c r="E109" s="4"/>
      <c r="F109" s="17" t="s">
        <v>592</v>
      </c>
      <c r="G109" s="4" t="s">
        <v>636</v>
      </c>
      <c r="H109" s="4" t="s">
        <v>594</v>
      </c>
      <c r="I109" s="4" t="s">
        <v>595</v>
      </c>
      <c r="J109" s="4" t="s">
        <v>637</v>
      </c>
      <c r="K109" s="3">
        <v>1</v>
      </c>
      <c r="L109" s="3">
        <v>551.69849999999997</v>
      </c>
      <c r="M109" s="3" t="s">
        <v>27</v>
      </c>
      <c r="N109" s="3" t="s">
        <v>597</v>
      </c>
      <c r="O109" s="12" t="s">
        <v>638</v>
      </c>
      <c r="P109" s="7" t="s">
        <v>639</v>
      </c>
      <c r="Q109" s="3" t="s">
        <v>40</v>
      </c>
      <c r="R109" s="3" t="s">
        <v>640</v>
      </c>
      <c r="S109" s="9" t="str">
        <f t="shared" si="2"/>
        <v>[{MountingType,Through Hole},{PackageCase,20-DIP}]</v>
      </c>
    </row>
    <row r="110" spans="1:19" ht="89.25">
      <c r="A110" s="4" t="s">
        <v>532</v>
      </c>
      <c r="B110" s="17"/>
      <c r="C110" s="17" t="s">
        <v>533</v>
      </c>
      <c r="D110" s="4" t="s">
        <v>591</v>
      </c>
      <c r="E110" s="4"/>
      <c r="F110" s="17" t="s">
        <v>592</v>
      </c>
      <c r="G110" s="4" t="s">
        <v>641</v>
      </c>
      <c r="H110" s="4" t="s">
        <v>594</v>
      </c>
      <c r="I110" s="4" t="s">
        <v>595</v>
      </c>
      <c r="J110" s="4" t="s">
        <v>642</v>
      </c>
      <c r="K110" s="3">
        <v>2</v>
      </c>
      <c r="L110" s="3">
        <v>2175.9884999999999</v>
      </c>
      <c r="M110" s="3" t="s">
        <v>27</v>
      </c>
      <c r="N110" s="3" t="s">
        <v>643</v>
      </c>
      <c r="O110" s="12" t="s">
        <v>644</v>
      </c>
      <c r="P110" s="7" t="s">
        <v>645</v>
      </c>
      <c r="Q110" s="3" t="s">
        <v>40</v>
      </c>
      <c r="R110" s="3" t="s">
        <v>646</v>
      </c>
      <c r="S110" s="9" t="str">
        <f t="shared" si="2"/>
        <v>[{MountingType,Through Hole},{PackageCase,40-DIP}]</v>
      </c>
    </row>
    <row r="111" spans="1:19" ht="76.5">
      <c r="A111" s="4" t="s">
        <v>532</v>
      </c>
      <c r="B111" s="17"/>
      <c r="C111" s="17" t="s">
        <v>533</v>
      </c>
      <c r="D111" s="4" t="s">
        <v>429</v>
      </c>
      <c r="E111" s="4"/>
      <c r="F111" s="17" t="s">
        <v>430</v>
      </c>
      <c r="G111" s="4" t="s">
        <v>647</v>
      </c>
      <c r="H111" s="4" t="s">
        <v>648</v>
      </c>
      <c r="I111" s="4" t="s">
        <v>433</v>
      </c>
      <c r="J111" s="4" t="s">
        <v>649</v>
      </c>
      <c r="K111" s="3">
        <v>2</v>
      </c>
      <c r="L111" s="3">
        <v>0</v>
      </c>
      <c r="M111" s="3" t="s">
        <v>27</v>
      </c>
      <c r="N111" s="3" t="s">
        <v>45</v>
      </c>
      <c r="O111" s="12" t="s">
        <v>650</v>
      </c>
      <c r="P111" s="7" t="s">
        <v>651</v>
      </c>
      <c r="Q111" s="3" t="s">
        <v>40</v>
      </c>
      <c r="R111" s="3" t="s">
        <v>581</v>
      </c>
      <c r="S111" s="9" t="str">
        <f t="shared" si="2"/>
        <v>[{MountingType,Through Hole},{PackageCase,18-DIP}]</v>
      </c>
    </row>
    <row r="112" spans="1:19" ht="63.75">
      <c r="A112" s="4" t="s">
        <v>327</v>
      </c>
      <c r="B112" s="4"/>
      <c r="C112" s="4" t="s">
        <v>328</v>
      </c>
      <c r="D112" s="4" t="s">
        <v>652</v>
      </c>
      <c r="E112" s="4"/>
      <c r="F112" s="4" t="s">
        <v>653</v>
      </c>
      <c r="G112" s="4" t="s">
        <v>654</v>
      </c>
      <c r="H112" s="4" t="s">
        <v>332</v>
      </c>
      <c r="I112" s="4" t="s">
        <v>655</v>
      </c>
      <c r="J112" s="4" t="s">
        <v>656</v>
      </c>
      <c r="K112" s="3">
        <v>5</v>
      </c>
      <c r="L112" s="3">
        <v>128.82300000000001</v>
      </c>
      <c r="M112" s="3" t="s">
        <v>27</v>
      </c>
      <c r="N112" s="3" t="s">
        <v>657</v>
      </c>
      <c r="O112" s="12" t="s">
        <v>658</v>
      </c>
      <c r="P112" s="7" t="s">
        <v>659</v>
      </c>
      <c r="Q112" s="3" t="s">
        <v>40</v>
      </c>
      <c r="R112" s="3" t="s">
        <v>660</v>
      </c>
      <c r="S112" s="9" t="str">
        <f t="shared" si="2"/>
        <v>[{MountingType,Through Hole},{PackageCase,6-DIP}]</v>
      </c>
    </row>
    <row r="113" spans="1:19" ht="63.75">
      <c r="A113" s="4" t="s">
        <v>327</v>
      </c>
      <c r="B113" s="4"/>
      <c r="C113" s="4" t="s">
        <v>328</v>
      </c>
      <c r="D113" s="4" t="s">
        <v>652</v>
      </c>
      <c r="E113" s="4"/>
      <c r="F113" s="4" t="s">
        <v>653</v>
      </c>
      <c r="G113" s="4" t="s">
        <v>661</v>
      </c>
      <c r="H113" s="4" t="s">
        <v>662</v>
      </c>
      <c r="I113" s="4" t="s">
        <v>655</v>
      </c>
      <c r="J113" s="4" t="s">
        <v>663</v>
      </c>
      <c r="K113" s="3">
        <v>8</v>
      </c>
      <c r="L113" s="3">
        <v>238.04249999999999</v>
      </c>
      <c r="M113" s="3" t="s">
        <v>27</v>
      </c>
      <c r="N113" s="3" t="s">
        <v>45</v>
      </c>
      <c r="O113" s="12" t="s">
        <v>664</v>
      </c>
      <c r="P113" s="7" t="s">
        <v>665</v>
      </c>
      <c r="Q113" s="3" t="s">
        <v>40</v>
      </c>
      <c r="R113" s="3" t="s">
        <v>543</v>
      </c>
      <c r="S113" s="9" t="str">
        <f t="shared" si="2"/>
        <v>[{MountingType,Through Hole},{PackageCase,8-DIP}]</v>
      </c>
    </row>
    <row r="114" spans="1:19" ht="51">
      <c r="A114" s="4" t="s">
        <v>532</v>
      </c>
      <c r="B114" s="17"/>
      <c r="C114" s="17" t="s">
        <v>533</v>
      </c>
      <c r="D114" s="4" t="s">
        <v>534</v>
      </c>
      <c r="E114" s="4"/>
      <c r="F114" s="17" t="s">
        <v>535</v>
      </c>
      <c r="G114" s="4" t="s">
        <v>666</v>
      </c>
      <c r="H114" s="4" t="s">
        <v>547</v>
      </c>
      <c r="I114" s="4" t="s">
        <v>538</v>
      </c>
      <c r="J114" s="4" t="s">
        <v>667</v>
      </c>
      <c r="K114" s="3">
        <v>1</v>
      </c>
      <c r="L114" s="3">
        <v>0</v>
      </c>
      <c r="M114" s="3" t="s">
        <v>27</v>
      </c>
      <c r="N114" s="3" t="s">
        <v>45</v>
      </c>
      <c r="O114" s="12" t="s">
        <v>668</v>
      </c>
      <c r="P114" s="7" t="s">
        <v>669</v>
      </c>
      <c r="Q114" s="3" t="s">
        <v>40</v>
      </c>
      <c r="R114" s="3" t="s">
        <v>543</v>
      </c>
      <c r="S114" s="9" t="str">
        <f t="shared" si="2"/>
        <v>[{MountingType,Through Hole},{PackageCase,8-DIP}]</v>
      </c>
    </row>
    <row r="115" spans="1:19" ht="89.25">
      <c r="A115" s="4" t="s">
        <v>532</v>
      </c>
      <c r="B115" s="17"/>
      <c r="C115" s="17" t="s">
        <v>533</v>
      </c>
      <c r="D115" s="4" t="s">
        <v>573</v>
      </c>
      <c r="E115" s="4"/>
      <c r="F115" s="17" t="s">
        <v>574</v>
      </c>
      <c r="G115" s="4" t="s">
        <v>670</v>
      </c>
      <c r="H115" s="4" t="s">
        <v>547</v>
      </c>
      <c r="I115" s="4" t="s">
        <v>632</v>
      </c>
      <c r="J115" s="4" t="s">
        <v>671</v>
      </c>
      <c r="K115" s="3">
        <v>3</v>
      </c>
      <c r="L115" s="4">
        <v>0</v>
      </c>
      <c r="M115" s="3" t="s">
        <v>27</v>
      </c>
      <c r="N115" s="3" t="s">
        <v>589</v>
      </c>
      <c r="O115" s="12" t="s">
        <v>672</v>
      </c>
      <c r="P115" s="7" t="s">
        <v>673</v>
      </c>
      <c r="Q115" s="3" t="s">
        <v>40</v>
      </c>
      <c r="R115" s="3" t="s">
        <v>614</v>
      </c>
      <c r="S115" s="9" t="str">
        <f t="shared" si="2"/>
        <v>[{MountingType,Through Hole},{PackageCase,16-PDIP}]</v>
      </c>
    </row>
    <row r="116" spans="1:19" ht="63.75">
      <c r="A116" s="4" t="s">
        <v>327</v>
      </c>
      <c r="B116" s="4"/>
      <c r="C116" s="4" t="s">
        <v>328</v>
      </c>
      <c r="D116" s="4" t="s">
        <v>652</v>
      </c>
      <c r="E116" s="4"/>
      <c r="F116" s="4" t="s">
        <v>653</v>
      </c>
      <c r="G116" s="4" t="s">
        <v>674</v>
      </c>
      <c r="H116" s="4" t="s">
        <v>675</v>
      </c>
      <c r="I116" s="4" t="s">
        <v>676</v>
      </c>
      <c r="J116" s="4" t="s">
        <v>677</v>
      </c>
      <c r="K116" s="3">
        <v>16</v>
      </c>
      <c r="L116" s="3">
        <v>196.035</v>
      </c>
      <c r="M116" s="3" t="s">
        <v>27</v>
      </c>
      <c r="N116" s="3" t="s">
        <v>45</v>
      </c>
      <c r="O116" s="12" t="s">
        <v>678</v>
      </c>
      <c r="P116" s="7" t="s">
        <v>679</v>
      </c>
      <c r="Q116" s="3" t="s">
        <v>40</v>
      </c>
      <c r="R116" s="3" t="s">
        <v>680</v>
      </c>
      <c r="S116" s="9" t="str">
        <f t="shared" si="2"/>
        <v>[{MountingType,Through Hole},{PackageCase,4-DIP}]</v>
      </c>
    </row>
    <row r="117" spans="1:19" ht="89.25">
      <c r="A117" s="4" t="s">
        <v>532</v>
      </c>
      <c r="B117" s="17"/>
      <c r="C117" s="17" t="s">
        <v>533</v>
      </c>
      <c r="D117" s="4" t="s">
        <v>591</v>
      </c>
      <c r="E117" s="4"/>
      <c r="F117" s="17" t="s">
        <v>592</v>
      </c>
      <c r="G117" s="4" t="s">
        <v>681</v>
      </c>
      <c r="H117" s="4" t="s">
        <v>594</v>
      </c>
      <c r="I117" s="4" t="s">
        <v>595</v>
      </c>
      <c r="J117" s="4" t="s">
        <v>682</v>
      </c>
      <c r="K117" s="3">
        <v>2</v>
      </c>
      <c r="L117" s="3">
        <v>644.11500000000001</v>
      </c>
      <c r="M117" s="3" t="s">
        <v>27</v>
      </c>
      <c r="N117" s="3" t="s">
        <v>643</v>
      </c>
      <c r="O117" s="12" t="s">
        <v>683</v>
      </c>
      <c r="P117" s="7" t="s">
        <v>684</v>
      </c>
      <c r="Q117" s="3" t="s">
        <v>40</v>
      </c>
      <c r="R117" s="3" t="s">
        <v>553</v>
      </c>
      <c r="S117" s="9" t="str">
        <f t="shared" si="2"/>
        <v>[{MountingType,Through Hole},{PackageCase,14-PDIP}]</v>
      </c>
    </row>
    <row r="118" spans="1:19" ht="76.5">
      <c r="A118" s="4" t="s">
        <v>532</v>
      </c>
      <c r="B118" s="17"/>
      <c r="C118" s="17" t="s">
        <v>533</v>
      </c>
      <c r="D118" s="4" t="s">
        <v>624</v>
      </c>
      <c r="E118" s="4"/>
      <c r="F118" s="17" t="s">
        <v>625</v>
      </c>
      <c r="G118" s="4" t="s">
        <v>685</v>
      </c>
      <c r="H118" s="4" t="s">
        <v>616</v>
      </c>
      <c r="I118" s="4" t="s">
        <v>686</v>
      </c>
      <c r="J118" s="4" t="s">
        <v>687</v>
      </c>
      <c r="K118" s="3">
        <v>9</v>
      </c>
      <c r="L118" s="3">
        <v>0</v>
      </c>
      <c r="M118" s="3" t="s">
        <v>27</v>
      </c>
      <c r="N118" s="3" t="s">
        <v>688</v>
      </c>
      <c r="O118" s="12" t="s">
        <v>689</v>
      </c>
      <c r="P118" s="7" t="s">
        <v>690</v>
      </c>
      <c r="Q118" s="3" t="s">
        <v>40</v>
      </c>
      <c r="R118" s="3" t="s">
        <v>543</v>
      </c>
      <c r="S118" s="9" t="str">
        <f t="shared" si="2"/>
        <v>[{MountingType,Through Hole},{PackageCase,8-DIP}]</v>
      </c>
    </row>
    <row r="119" spans="1:19" ht="76.5">
      <c r="A119" s="4" t="s">
        <v>532</v>
      </c>
      <c r="B119" s="17"/>
      <c r="C119" s="17" t="s">
        <v>533</v>
      </c>
      <c r="D119" s="4" t="s">
        <v>624</v>
      </c>
      <c r="E119" s="4"/>
      <c r="F119" s="17" t="s">
        <v>625</v>
      </c>
      <c r="G119" s="4" t="s">
        <v>691</v>
      </c>
      <c r="H119" s="4" t="s">
        <v>547</v>
      </c>
      <c r="I119" s="4" t="s">
        <v>686</v>
      </c>
      <c r="J119" s="4" t="s">
        <v>692</v>
      </c>
      <c r="K119" s="3">
        <v>3</v>
      </c>
      <c r="L119" s="3">
        <v>252.04500000000002</v>
      </c>
      <c r="M119" s="3" t="s">
        <v>27</v>
      </c>
      <c r="N119" s="3" t="s">
        <v>693</v>
      </c>
      <c r="O119" s="12" t="s">
        <v>694</v>
      </c>
      <c r="P119" s="7" t="s">
        <v>695</v>
      </c>
      <c r="Q119" s="3" t="s">
        <v>40</v>
      </c>
      <c r="R119" s="3" t="s">
        <v>543</v>
      </c>
      <c r="S119" s="9" t="str">
        <f t="shared" ref="S119:S144" si="4">CONCATENATE("[","{","MountingType",",",Q119,"}",",","{","PackageCase",",",R119,"}","]")</f>
        <v>[{MountingType,Through Hole},{PackageCase,8-DIP}]</v>
      </c>
    </row>
    <row r="120" spans="1:19" ht="51">
      <c r="A120" s="4" t="s">
        <v>532</v>
      </c>
      <c r="B120" s="17"/>
      <c r="C120" s="17" t="s">
        <v>533</v>
      </c>
      <c r="D120" s="4" t="s">
        <v>544</v>
      </c>
      <c r="E120" s="4"/>
      <c r="F120" s="17" t="s">
        <v>545</v>
      </c>
      <c r="G120" s="4" t="s">
        <v>696</v>
      </c>
      <c r="H120" s="4" t="s">
        <v>616</v>
      </c>
      <c r="I120" s="4" t="s">
        <v>587</v>
      </c>
      <c r="J120" s="4" t="s">
        <v>697</v>
      </c>
      <c r="K120" s="3">
        <v>3</v>
      </c>
      <c r="L120" s="3">
        <v>0</v>
      </c>
      <c r="M120" s="3" t="s">
        <v>27</v>
      </c>
      <c r="N120" s="3" t="s">
        <v>589</v>
      </c>
      <c r="O120" s="12" t="s">
        <v>698</v>
      </c>
      <c r="P120" s="7" t="s">
        <v>699</v>
      </c>
      <c r="Q120" s="3" t="s">
        <v>40</v>
      </c>
      <c r="R120" s="3" t="s">
        <v>553</v>
      </c>
      <c r="S120" s="9" t="str">
        <f t="shared" si="4"/>
        <v>[{MountingType,Through Hole},{PackageCase,14-PDIP}]</v>
      </c>
    </row>
    <row r="121" spans="1:19" ht="51">
      <c r="A121" s="4" t="s">
        <v>532</v>
      </c>
      <c r="B121" s="17"/>
      <c r="C121" s="17" t="s">
        <v>533</v>
      </c>
      <c r="D121" s="4" t="s">
        <v>534</v>
      </c>
      <c r="E121" s="4"/>
      <c r="F121" s="17" t="s">
        <v>535</v>
      </c>
      <c r="G121" s="4" t="s">
        <v>700</v>
      </c>
      <c r="H121" s="4" t="s">
        <v>616</v>
      </c>
      <c r="I121" s="4" t="s">
        <v>538</v>
      </c>
      <c r="J121" s="4" t="s">
        <v>701</v>
      </c>
      <c r="K121" s="3">
        <v>1</v>
      </c>
      <c r="L121" s="3">
        <v>0</v>
      </c>
      <c r="M121" s="3" t="s">
        <v>27</v>
      </c>
      <c r="N121" s="3" t="s">
        <v>45</v>
      </c>
      <c r="O121" s="12" t="s">
        <v>702</v>
      </c>
      <c r="P121" s="7" t="s">
        <v>619</v>
      </c>
      <c r="Q121" s="3" t="s">
        <v>40</v>
      </c>
      <c r="R121" s="3" t="s">
        <v>543</v>
      </c>
      <c r="S121" s="9" t="str">
        <f t="shared" si="4"/>
        <v>[{MountingType,Through Hole},{PackageCase,8-DIP}]</v>
      </c>
    </row>
    <row r="122" spans="1:19" ht="51">
      <c r="A122" s="4" t="s">
        <v>532</v>
      </c>
      <c r="B122" s="17"/>
      <c r="C122" s="17" t="s">
        <v>533</v>
      </c>
      <c r="D122" s="4" t="s">
        <v>544</v>
      </c>
      <c r="E122" s="4"/>
      <c r="F122" s="17" t="s">
        <v>545</v>
      </c>
      <c r="G122" s="4" t="s">
        <v>703</v>
      </c>
      <c r="H122" s="4" t="s">
        <v>416</v>
      </c>
      <c r="I122" s="4" t="s">
        <v>587</v>
      </c>
      <c r="J122" s="4" t="s">
        <v>704</v>
      </c>
      <c r="K122" s="3">
        <v>1</v>
      </c>
      <c r="L122" s="3">
        <v>0</v>
      </c>
      <c r="M122" s="3" t="s">
        <v>27</v>
      </c>
      <c r="N122" s="3" t="s">
        <v>550</v>
      </c>
      <c r="O122" s="12" t="s">
        <v>705</v>
      </c>
      <c r="P122" s="7" t="s">
        <v>572</v>
      </c>
      <c r="Q122" s="3" t="s">
        <v>40</v>
      </c>
      <c r="R122" s="3" t="s">
        <v>553</v>
      </c>
      <c r="S122" s="9" t="str">
        <f t="shared" si="4"/>
        <v>[{MountingType,Through Hole},{PackageCase,14-PDIP}]</v>
      </c>
    </row>
    <row r="123" spans="1:19" ht="51">
      <c r="A123" s="4" t="s">
        <v>532</v>
      </c>
      <c r="B123" s="17"/>
      <c r="C123" s="17" t="s">
        <v>533</v>
      </c>
      <c r="D123" s="4" t="s">
        <v>534</v>
      </c>
      <c r="E123" s="4"/>
      <c r="F123" s="17" t="s">
        <v>535</v>
      </c>
      <c r="G123" s="4" t="s">
        <v>706</v>
      </c>
      <c r="H123" s="4" t="s">
        <v>594</v>
      </c>
      <c r="I123" s="4" t="s">
        <v>538</v>
      </c>
      <c r="J123" s="4" t="s">
        <v>707</v>
      </c>
      <c r="K123" s="3">
        <v>8</v>
      </c>
      <c r="L123" s="3">
        <v>131.62350000000001</v>
      </c>
      <c r="M123" s="3" t="s">
        <v>27</v>
      </c>
      <c r="N123" s="3" t="s">
        <v>45</v>
      </c>
      <c r="O123" s="12" t="s">
        <v>708</v>
      </c>
      <c r="P123" s="7" t="s">
        <v>709</v>
      </c>
      <c r="Q123" s="3" t="s">
        <v>40</v>
      </c>
      <c r="R123" s="3" t="s">
        <v>543</v>
      </c>
      <c r="S123" s="9" t="str">
        <f t="shared" si="4"/>
        <v>[{MountingType,Through Hole},{PackageCase,8-DIP}]</v>
      </c>
    </row>
    <row r="124" spans="1:19" ht="51">
      <c r="A124" s="4" t="s">
        <v>532</v>
      </c>
      <c r="B124" s="17"/>
      <c r="C124" s="17" t="s">
        <v>533</v>
      </c>
      <c r="D124" s="4" t="s">
        <v>544</v>
      </c>
      <c r="E124" s="4"/>
      <c r="F124" s="17" t="s">
        <v>545</v>
      </c>
      <c r="G124" s="4" t="s">
        <v>710</v>
      </c>
      <c r="H124" s="4" t="s">
        <v>416</v>
      </c>
      <c r="I124" s="4" t="s">
        <v>562</v>
      </c>
      <c r="J124" s="4" t="s">
        <v>711</v>
      </c>
      <c r="K124" s="3">
        <v>1</v>
      </c>
      <c r="L124" s="3">
        <v>0</v>
      </c>
      <c r="M124" s="3" t="s">
        <v>27</v>
      </c>
      <c r="N124" s="3" t="s">
        <v>564</v>
      </c>
      <c r="O124" s="12" t="s">
        <v>712</v>
      </c>
      <c r="P124" s="7" t="s">
        <v>566</v>
      </c>
      <c r="Q124" s="3" t="s">
        <v>40</v>
      </c>
      <c r="R124" s="3" t="s">
        <v>567</v>
      </c>
      <c r="S124" s="9" t="str">
        <f t="shared" si="4"/>
        <v>[{MountingType,Through Hole},{PackageCase,16-DIP}]</v>
      </c>
    </row>
    <row r="125" spans="1:19" ht="51">
      <c r="A125" s="4" t="s">
        <v>532</v>
      </c>
      <c r="B125" s="17"/>
      <c r="C125" s="17" t="s">
        <v>533</v>
      </c>
      <c r="D125" s="4" t="s">
        <v>544</v>
      </c>
      <c r="E125" s="4"/>
      <c r="F125" s="17" t="s">
        <v>545</v>
      </c>
      <c r="G125" s="4" t="s">
        <v>713</v>
      </c>
      <c r="H125" s="4" t="s">
        <v>547</v>
      </c>
      <c r="I125" s="4" t="s">
        <v>714</v>
      </c>
      <c r="J125" s="4" t="s">
        <v>715</v>
      </c>
      <c r="K125" s="3">
        <v>3</v>
      </c>
      <c r="L125" s="3">
        <v>226.84049999999999</v>
      </c>
      <c r="M125" s="3" t="s">
        <v>27</v>
      </c>
      <c r="N125" s="3" t="s">
        <v>550</v>
      </c>
      <c r="O125" s="12" t="s">
        <v>716</v>
      </c>
      <c r="P125" s="7" t="s">
        <v>717</v>
      </c>
      <c r="Q125" s="3" t="s">
        <v>40</v>
      </c>
      <c r="R125" s="3" t="s">
        <v>718</v>
      </c>
      <c r="S125" s="9" t="str">
        <f t="shared" si="4"/>
        <v>[{MountingType,Through Hole},{PackageCase,20-PDIP}]</v>
      </c>
    </row>
    <row r="126" spans="1:19" ht="89.25">
      <c r="A126" s="4" t="s">
        <v>532</v>
      </c>
      <c r="B126" s="17"/>
      <c r="C126" s="17" t="s">
        <v>533</v>
      </c>
      <c r="D126" s="4" t="s">
        <v>591</v>
      </c>
      <c r="E126" s="4"/>
      <c r="F126" s="17" t="s">
        <v>592</v>
      </c>
      <c r="G126" s="4" t="s">
        <v>719</v>
      </c>
      <c r="H126" s="4" t="s">
        <v>594</v>
      </c>
      <c r="I126" s="4" t="s">
        <v>595</v>
      </c>
      <c r="J126" s="4" t="s">
        <v>720</v>
      </c>
      <c r="K126" s="3">
        <v>3</v>
      </c>
      <c r="L126" s="3">
        <v>918.56399999999996</v>
      </c>
      <c r="M126" s="3" t="s">
        <v>27</v>
      </c>
      <c r="N126" s="3" t="s">
        <v>721</v>
      </c>
      <c r="O126" s="12" t="s">
        <v>722</v>
      </c>
      <c r="P126" s="7" t="s">
        <v>723</v>
      </c>
      <c r="Q126" s="3" t="s">
        <v>40</v>
      </c>
      <c r="R126" s="3" t="s">
        <v>724</v>
      </c>
      <c r="S126" s="9" t="str">
        <f t="shared" si="4"/>
        <v>[{MountingType,Through Hole},{PackageCase,28-PDIP}]</v>
      </c>
    </row>
    <row r="127" spans="1:19" ht="51">
      <c r="A127" s="4" t="s">
        <v>532</v>
      </c>
      <c r="B127" s="17"/>
      <c r="C127" s="17" t="s">
        <v>533</v>
      </c>
      <c r="D127" s="4" t="s">
        <v>544</v>
      </c>
      <c r="E127" s="4"/>
      <c r="F127" s="17" t="s">
        <v>545</v>
      </c>
      <c r="G127" s="4" t="s">
        <v>725</v>
      </c>
      <c r="H127" s="4" t="s">
        <v>547</v>
      </c>
      <c r="I127" s="4" t="s">
        <v>714</v>
      </c>
      <c r="J127" s="4" t="s">
        <v>726</v>
      </c>
      <c r="K127" s="3">
        <v>1</v>
      </c>
      <c r="L127" s="3">
        <v>0</v>
      </c>
      <c r="M127" s="3" t="s">
        <v>27</v>
      </c>
      <c r="N127" s="3" t="s">
        <v>45</v>
      </c>
      <c r="O127" s="12" t="s">
        <v>727</v>
      </c>
      <c r="P127" s="7" t="s">
        <v>728</v>
      </c>
      <c r="Q127" s="3" t="s">
        <v>40</v>
      </c>
      <c r="R127" s="3" t="s">
        <v>614</v>
      </c>
      <c r="S127" s="9" t="str">
        <f t="shared" si="4"/>
        <v>[{MountingType,Through Hole},{PackageCase,16-PDIP}]</v>
      </c>
    </row>
    <row r="128" spans="1:19" ht="89.25">
      <c r="A128" s="4" t="s">
        <v>532</v>
      </c>
      <c r="B128" s="17"/>
      <c r="C128" s="17" t="s">
        <v>533</v>
      </c>
      <c r="D128" s="4" t="s">
        <v>729</v>
      </c>
      <c r="E128" s="4"/>
      <c r="F128" s="4" t="s">
        <v>730</v>
      </c>
      <c r="G128" s="4" t="s">
        <v>731</v>
      </c>
      <c r="H128" s="4" t="s">
        <v>648</v>
      </c>
      <c r="I128" s="4" t="s">
        <v>21</v>
      </c>
      <c r="J128" s="4" t="s">
        <v>732</v>
      </c>
      <c r="K128" s="3">
        <v>2</v>
      </c>
      <c r="L128" s="3">
        <v>145.626</v>
      </c>
      <c r="M128" s="3" t="s">
        <v>27</v>
      </c>
      <c r="N128" s="3"/>
      <c r="O128" s="12" t="s">
        <v>733</v>
      </c>
      <c r="P128" s="7" t="s">
        <v>572</v>
      </c>
      <c r="Q128" s="3" t="s">
        <v>40</v>
      </c>
      <c r="R128" s="3" t="s">
        <v>553</v>
      </c>
      <c r="S128" s="9" t="str">
        <f t="shared" si="4"/>
        <v>[{MountingType,Through Hole},{PackageCase,14-PDIP}]</v>
      </c>
    </row>
    <row r="129" spans="1:19" ht="63.75">
      <c r="A129" s="4" t="s">
        <v>19</v>
      </c>
      <c r="B129" s="4"/>
      <c r="C129" s="17" t="s">
        <v>20</v>
      </c>
      <c r="D129" s="4" t="s">
        <v>734</v>
      </c>
      <c r="E129" s="4"/>
      <c r="F129" s="4" t="s">
        <v>735</v>
      </c>
      <c r="G129" s="4" t="s">
        <v>736</v>
      </c>
      <c r="H129" s="4" t="s">
        <v>537</v>
      </c>
      <c r="I129" s="4" t="s">
        <v>737</v>
      </c>
      <c r="J129" s="4" t="s">
        <v>738</v>
      </c>
      <c r="K129" s="3">
        <v>1</v>
      </c>
      <c r="L129" s="3">
        <v>5026.8975</v>
      </c>
      <c r="M129" s="3" t="s">
        <v>27</v>
      </c>
      <c r="N129" s="3" t="s">
        <v>45</v>
      </c>
      <c r="O129" s="12" t="s">
        <v>739</v>
      </c>
      <c r="P129" s="7" t="s">
        <v>639</v>
      </c>
      <c r="Q129" s="3" t="s">
        <v>40</v>
      </c>
      <c r="R129" s="3" t="s">
        <v>640</v>
      </c>
      <c r="S129" s="9" t="str">
        <f t="shared" si="4"/>
        <v>[{MountingType,Through Hole},{PackageCase,20-DIP}]</v>
      </c>
    </row>
    <row r="130" spans="1:19" ht="76.5">
      <c r="A130" s="4" t="s">
        <v>532</v>
      </c>
      <c r="B130" s="17"/>
      <c r="C130" s="17" t="s">
        <v>533</v>
      </c>
      <c r="D130" s="4" t="s">
        <v>554</v>
      </c>
      <c r="E130" s="4"/>
      <c r="F130" s="17" t="s">
        <v>555</v>
      </c>
      <c r="G130" s="4" t="s">
        <v>740</v>
      </c>
      <c r="H130" s="4" t="s">
        <v>741</v>
      </c>
      <c r="I130" s="4" t="s">
        <v>742</v>
      </c>
      <c r="J130" s="4" t="s">
        <v>743</v>
      </c>
      <c r="K130" s="3">
        <v>3</v>
      </c>
      <c r="L130" s="3">
        <v>0</v>
      </c>
      <c r="M130" s="3" t="s">
        <v>27</v>
      </c>
      <c r="N130" s="3" t="s">
        <v>45</v>
      </c>
      <c r="O130" s="12" t="s">
        <v>744</v>
      </c>
      <c r="P130" s="7" t="s">
        <v>572</v>
      </c>
      <c r="Q130" s="3" t="s">
        <v>40</v>
      </c>
      <c r="R130" s="3" t="s">
        <v>553</v>
      </c>
      <c r="S130" s="9" t="str">
        <f t="shared" si="4"/>
        <v>[{MountingType,Through Hole},{PackageCase,14-PDIP}]</v>
      </c>
    </row>
    <row r="131" spans="1:19" ht="51">
      <c r="A131" s="4" t="s">
        <v>532</v>
      </c>
      <c r="B131" s="17"/>
      <c r="C131" s="17" t="s">
        <v>533</v>
      </c>
      <c r="D131" s="4" t="s">
        <v>534</v>
      </c>
      <c r="E131" s="4"/>
      <c r="F131" s="17" t="s">
        <v>535</v>
      </c>
      <c r="G131" s="4" t="s">
        <v>745</v>
      </c>
      <c r="H131" s="4" t="s">
        <v>547</v>
      </c>
      <c r="I131" s="4" t="s">
        <v>538</v>
      </c>
      <c r="J131" s="4" t="s">
        <v>746</v>
      </c>
      <c r="K131" s="3">
        <v>5</v>
      </c>
      <c r="L131" s="3">
        <v>145.626</v>
      </c>
      <c r="M131" s="3" t="s">
        <v>27</v>
      </c>
      <c r="N131" s="3" t="s">
        <v>45</v>
      </c>
      <c r="O131" s="12" t="s">
        <v>747</v>
      </c>
      <c r="P131" s="7" t="s">
        <v>748</v>
      </c>
      <c r="Q131" s="3" t="s">
        <v>40</v>
      </c>
      <c r="R131" s="3" t="s">
        <v>543</v>
      </c>
      <c r="S131" s="9" t="str">
        <f t="shared" si="4"/>
        <v>[{MountingType,Through Hole},{PackageCase,8-DIP}]</v>
      </c>
    </row>
    <row r="132" spans="1:19" ht="76.5">
      <c r="A132" s="4" t="s">
        <v>532</v>
      </c>
      <c r="B132" s="17"/>
      <c r="C132" s="17" t="s">
        <v>533</v>
      </c>
      <c r="D132" s="4" t="s">
        <v>554</v>
      </c>
      <c r="E132" s="4"/>
      <c r="F132" s="17" t="s">
        <v>555</v>
      </c>
      <c r="G132" s="4" t="s">
        <v>749</v>
      </c>
      <c r="H132" s="4" t="s">
        <v>416</v>
      </c>
      <c r="I132" s="4" t="s">
        <v>750</v>
      </c>
      <c r="J132" s="4" t="s">
        <v>751</v>
      </c>
      <c r="K132" s="3">
        <v>1</v>
      </c>
      <c r="L132" s="3">
        <v>417.27449999999999</v>
      </c>
      <c r="M132" s="3" t="s">
        <v>27</v>
      </c>
      <c r="N132" s="3" t="s">
        <v>45</v>
      </c>
      <c r="O132" s="12" t="s">
        <v>752</v>
      </c>
      <c r="P132" s="7" t="s">
        <v>753</v>
      </c>
      <c r="Q132" s="3" t="s">
        <v>40</v>
      </c>
      <c r="R132" s="3" t="s">
        <v>614</v>
      </c>
      <c r="S132" s="9" t="str">
        <f t="shared" si="4"/>
        <v>[{MountingType,Through Hole},{PackageCase,16-PDIP}]</v>
      </c>
    </row>
    <row r="133" spans="1:19" ht="51">
      <c r="A133" s="4" t="s">
        <v>532</v>
      </c>
      <c r="B133" s="17"/>
      <c r="C133" s="17" t="s">
        <v>533</v>
      </c>
      <c r="D133" s="4" t="s">
        <v>544</v>
      </c>
      <c r="E133" s="4"/>
      <c r="F133" s="17" t="s">
        <v>545</v>
      </c>
      <c r="G133" s="4" t="s">
        <v>754</v>
      </c>
      <c r="H133" s="4" t="s">
        <v>416</v>
      </c>
      <c r="I133" s="4" t="s">
        <v>755</v>
      </c>
      <c r="J133" s="4" t="s">
        <v>756</v>
      </c>
      <c r="K133" s="3">
        <v>1</v>
      </c>
      <c r="L133" s="3">
        <v>0</v>
      </c>
      <c r="M133" s="3" t="s">
        <v>27</v>
      </c>
      <c r="N133" s="3" t="s">
        <v>564</v>
      </c>
      <c r="O133" s="12" t="s">
        <v>757</v>
      </c>
      <c r="P133" s="7" t="s">
        <v>572</v>
      </c>
      <c r="Q133" s="3" t="s">
        <v>40</v>
      </c>
      <c r="R133" s="3" t="s">
        <v>758</v>
      </c>
      <c r="S133" s="9" t="str">
        <f t="shared" si="4"/>
        <v>[{MountingType,Through Hole},{PackageCase,14-MDIP}]</v>
      </c>
    </row>
    <row r="134" spans="1:19" ht="51">
      <c r="A134" s="4" t="s">
        <v>532</v>
      </c>
      <c r="B134" s="17"/>
      <c r="C134" s="17" t="s">
        <v>533</v>
      </c>
      <c r="D134" s="4" t="s">
        <v>544</v>
      </c>
      <c r="E134" s="4"/>
      <c r="F134" s="17" t="s">
        <v>545</v>
      </c>
      <c r="G134" s="4" t="s">
        <v>759</v>
      </c>
      <c r="H134" s="4" t="s">
        <v>547</v>
      </c>
      <c r="I134" s="4" t="s">
        <v>587</v>
      </c>
      <c r="J134" s="4" t="s">
        <v>760</v>
      </c>
      <c r="K134" s="3">
        <v>1</v>
      </c>
      <c r="L134" s="3">
        <v>224.04000000000002</v>
      </c>
      <c r="M134" s="3" t="s">
        <v>27</v>
      </c>
      <c r="N134" s="3" t="s">
        <v>589</v>
      </c>
      <c r="O134" s="12" t="s">
        <v>761</v>
      </c>
      <c r="P134" s="7" t="s">
        <v>552</v>
      </c>
      <c r="Q134" s="3" t="s">
        <v>40</v>
      </c>
      <c r="R134" s="3" t="s">
        <v>553</v>
      </c>
      <c r="S134" s="9" t="str">
        <f t="shared" si="4"/>
        <v>[{MountingType,Through Hole},{PackageCase,14-PDIP}]</v>
      </c>
    </row>
    <row r="135" spans="1:19" ht="89.25">
      <c r="A135" s="4" t="s">
        <v>532</v>
      </c>
      <c r="B135" s="17"/>
      <c r="C135" s="17" t="s">
        <v>533</v>
      </c>
      <c r="D135" s="4" t="s">
        <v>591</v>
      </c>
      <c r="E135" s="4"/>
      <c r="F135" s="17" t="s">
        <v>592</v>
      </c>
      <c r="G135" s="4" t="s">
        <v>762</v>
      </c>
      <c r="H135" s="4" t="s">
        <v>594</v>
      </c>
      <c r="I135" s="4" t="s">
        <v>595</v>
      </c>
      <c r="J135" s="4" t="s">
        <v>763</v>
      </c>
      <c r="K135" s="3">
        <v>1</v>
      </c>
      <c r="L135" s="3">
        <v>924.16499999999996</v>
      </c>
      <c r="M135" s="3" t="s">
        <v>27</v>
      </c>
      <c r="N135" s="3" t="s">
        <v>643</v>
      </c>
      <c r="O135" s="12" t="s">
        <v>764</v>
      </c>
      <c r="P135" s="7" t="s">
        <v>765</v>
      </c>
      <c r="Q135" s="3" t="s">
        <v>40</v>
      </c>
      <c r="R135" s="3" t="s">
        <v>724</v>
      </c>
      <c r="S135" s="9" t="str">
        <f t="shared" si="4"/>
        <v>[{MountingType,Through Hole},{PackageCase,28-PDIP}]</v>
      </c>
    </row>
    <row r="136" spans="1:19" ht="76.5">
      <c r="A136" s="4" t="s">
        <v>532</v>
      </c>
      <c r="B136" s="17"/>
      <c r="C136" s="17" t="s">
        <v>533</v>
      </c>
      <c r="D136" s="4" t="s">
        <v>554</v>
      </c>
      <c r="E136" s="4"/>
      <c r="F136" s="17" t="s">
        <v>555</v>
      </c>
      <c r="G136" s="4" t="s">
        <v>766</v>
      </c>
      <c r="H136" s="4" t="s">
        <v>537</v>
      </c>
      <c r="I136" s="4" t="s">
        <v>767</v>
      </c>
      <c r="J136" s="4" t="s">
        <v>768</v>
      </c>
      <c r="K136" s="3">
        <v>1</v>
      </c>
      <c r="L136" s="3">
        <v>2386.0259999999998</v>
      </c>
      <c r="M136" s="3" t="s">
        <v>27</v>
      </c>
      <c r="N136" s="3" t="s">
        <v>45</v>
      </c>
      <c r="O136" s="12" t="s">
        <v>769</v>
      </c>
      <c r="P136" s="7" t="s">
        <v>566</v>
      </c>
      <c r="Q136" s="3" t="s">
        <v>40</v>
      </c>
      <c r="R136" s="3" t="s">
        <v>567</v>
      </c>
      <c r="S136" s="9" t="str">
        <f t="shared" si="4"/>
        <v>[{MountingType,Through Hole},{PackageCase,16-DIP}]</v>
      </c>
    </row>
    <row r="137" spans="1:19" ht="38.25">
      <c r="A137" s="4" t="s">
        <v>532</v>
      </c>
      <c r="B137" s="17"/>
      <c r="C137" s="17" t="s">
        <v>533</v>
      </c>
      <c r="D137" s="4" t="s">
        <v>770</v>
      </c>
      <c r="E137" s="4"/>
      <c r="F137" s="3" t="s">
        <v>771</v>
      </c>
      <c r="G137" s="4" t="s">
        <v>772</v>
      </c>
      <c r="H137" s="3" t="s">
        <v>627</v>
      </c>
      <c r="I137" s="4" t="s">
        <v>773</v>
      </c>
      <c r="J137" s="4" t="s">
        <v>774</v>
      </c>
      <c r="K137" s="3">
        <v>1</v>
      </c>
      <c r="L137" s="3">
        <v>0</v>
      </c>
      <c r="M137" s="3" t="s">
        <v>27</v>
      </c>
      <c r="N137" s="3" t="s">
        <v>45</v>
      </c>
      <c r="O137" s="12" t="s">
        <v>775</v>
      </c>
      <c r="P137" s="7" t="s">
        <v>776</v>
      </c>
      <c r="Q137" s="3" t="s">
        <v>40</v>
      </c>
      <c r="R137" s="3" t="s">
        <v>553</v>
      </c>
      <c r="S137" s="9" t="str">
        <f t="shared" si="4"/>
        <v>[{MountingType,Through Hole},{PackageCase,14-PDIP}]</v>
      </c>
    </row>
    <row r="138" spans="1:19" ht="89.25">
      <c r="A138" s="4" t="s">
        <v>532</v>
      </c>
      <c r="B138" s="17"/>
      <c r="C138" s="17" t="s">
        <v>533</v>
      </c>
      <c r="D138" s="4" t="s">
        <v>591</v>
      </c>
      <c r="E138" s="4"/>
      <c r="F138" s="17" t="s">
        <v>592</v>
      </c>
      <c r="G138" s="4" t="s">
        <v>777</v>
      </c>
      <c r="H138" s="4" t="s">
        <v>594</v>
      </c>
      <c r="I138" s="4" t="s">
        <v>595</v>
      </c>
      <c r="J138" s="4" t="s">
        <v>778</v>
      </c>
      <c r="K138" s="3">
        <v>2</v>
      </c>
      <c r="L138" s="3">
        <v>0</v>
      </c>
      <c r="M138" s="3" t="s">
        <v>27</v>
      </c>
      <c r="N138" s="3" t="s">
        <v>779</v>
      </c>
      <c r="O138" s="12" t="s">
        <v>780</v>
      </c>
      <c r="P138" s="7" t="s">
        <v>781</v>
      </c>
      <c r="Q138" s="3" t="s">
        <v>40</v>
      </c>
      <c r="R138" s="3" t="s">
        <v>782</v>
      </c>
      <c r="S138" s="9" t="str">
        <f t="shared" si="4"/>
        <v>[{MountingType,Through Hole},{PackageCase,40-PDIP}]</v>
      </c>
    </row>
    <row r="139" spans="1:19" ht="51">
      <c r="A139" s="4" t="s">
        <v>532</v>
      </c>
      <c r="B139" s="17"/>
      <c r="C139" s="17" t="s">
        <v>533</v>
      </c>
      <c r="D139" s="4" t="s">
        <v>544</v>
      </c>
      <c r="E139" s="4"/>
      <c r="F139" s="17" t="s">
        <v>545</v>
      </c>
      <c r="G139" s="4" t="s">
        <v>783</v>
      </c>
      <c r="H139" s="4" t="s">
        <v>537</v>
      </c>
      <c r="I139" s="4" t="s">
        <v>784</v>
      </c>
      <c r="J139" s="4" t="s">
        <v>785</v>
      </c>
      <c r="K139" s="3">
        <v>3</v>
      </c>
      <c r="L139" s="3">
        <v>0</v>
      </c>
      <c r="M139" s="3" t="s">
        <v>27</v>
      </c>
      <c r="N139" s="3" t="s">
        <v>564</v>
      </c>
      <c r="O139" s="12" t="s">
        <v>786</v>
      </c>
      <c r="P139" s="7" t="s">
        <v>566</v>
      </c>
      <c r="Q139" s="3" t="s">
        <v>40</v>
      </c>
      <c r="R139" s="3" t="s">
        <v>567</v>
      </c>
      <c r="S139" s="9" t="str">
        <f t="shared" si="4"/>
        <v>[{MountingType,Through Hole},{PackageCase,16-DIP}]</v>
      </c>
    </row>
    <row r="140" spans="1:19" ht="51">
      <c r="A140" s="4" t="s">
        <v>532</v>
      </c>
      <c r="B140" s="17"/>
      <c r="C140" s="17" t="s">
        <v>533</v>
      </c>
      <c r="D140" s="4" t="s">
        <v>534</v>
      </c>
      <c r="E140" s="4"/>
      <c r="F140" s="17" t="s">
        <v>535</v>
      </c>
      <c r="G140" s="4" t="s">
        <v>787</v>
      </c>
      <c r="H140" s="4" t="s">
        <v>537</v>
      </c>
      <c r="I140" s="4" t="s">
        <v>538</v>
      </c>
      <c r="J140" s="4" t="s">
        <v>788</v>
      </c>
      <c r="K140" s="3">
        <v>8</v>
      </c>
      <c r="L140" s="3">
        <v>0</v>
      </c>
      <c r="M140" s="3" t="s">
        <v>27</v>
      </c>
      <c r="N140" s="3" t="s">
        <v>45</v>
      </c>
      <c r="O140" s="12" t="s">
        <v>789</v>
      </c>
      <c r="P140" s="7" t="s">
        <v>542</v>
      </c>
      <c r="Q140" s="3" t="s">
        <v>40</v>
      </c>
      <c r="R140" s="3" t="s">
        <v>543</v>
      </c>
      <c r="S140" s="9" t="str">
        <f t="shared" si="4"/>
        <v>[{MountingType,Through Hole},{PackageCase,8-DIP}]</v>
      </c>
    </row>
    <row r="141" spans="1:19" ht="76.5">
      <c r="A141" s="4" t="s">
        <v>413</v>
      </c>
      <c r="B141" s="17"/>
      <c r="C141" s="17" t="s">
        <v>414</v>
      </c>
      <c r="D141" s="4" t="s">
        <v>429</v>
      </c>
      <c r="E141" s="4"/>
      <c r="F141" s="17" t="s">
        <v>430</v>
      </c>
      <c r="G141" s="4" t="s">
        <v>790</v>
      </c>
      <c r="H141" s="4" t="s">
        <v>791</v>
      </c>
      <c r="I141" s="4" t="s">
        <v>433</v>
      </c>
      <c r="J141" s="4" t="s">
        <v>792</v>
      </c>
      <c r="K141" s="3">
        <v>1</v>
      </c>
      <c r="L141" s="3">
        <v>33.606000000000002</v>
      </c>
      <c r="M141" s="3" t="s">
        <v>27</v>
      </c>
      <c r="N141" s="3" t="s">
        <v>45</v>
      </c>
      <c r="O141" s="12" t="s">
        <v>793</v>
      </c>
      <c r="P141" s="7" t="s">
        <v>794</v>
      </c>
      <c r="Q141" s="3" t="s">
        <v>40</v>
      </c>
      <c r="R141" s="3" t="s">
        <v>795</v>
      </c>
      <c r="S141" s="9" t="str">
        <f t="shared" si="4"/>
        <v>[{MountingType,Through Hole},{PackageCase,TO-92-3}]</v>
      </c>
    </row>
    <row r="142" spans="1:19" ht="76.5">
      <c r="A142" s="4" t="s">
        <v>413</v>
      </c>
      <c r="B142" s="17"/>
      <c r="C142" s="17" t="s">
        <v>414</v>
      </c>
      <c r="D142" s="4" t="s">
        <v>429</v>
      </c>
      <c r="E142" s="4"/>
      <c r="F142" s="17" t="s">
        <v>430</v>
      </c>
      <c r="G142" s="4" t="s">
        <v>796</v>
      </c>
      <c r="H142" s="4" t="s">
        <v>791</v>
      </c>
      <c r="I142" s="4" t="s">
        <v>433</v>
      </c>
      <c r="J142" s="4" t="s">
        <v>797</v>
      </c>
      <c r="K142" s="3">
        <v>1</v>
      </c>
      <c r="L142" s="3">
        <v>0</v>
      </c>
      <c r="M142" s="3" t="s">
        <v>27</v>
      </c>
      <c r="N142" s="3" t="s">
        <v>45</v>
      </c>
      <c r="O142" s="12" t="s">
        <v>798</v>
      </c>
      <c r="P142" s="7" t="s">
        <v>794</v>
      </c>
      <c r="Q142" s="3" t="s">
        <v>40</v>
      </c>
      <c r="R142" s="3" t="s">
        <v>795</v>
      </c>
      <c r="S142" s="9" t="str">
        <f t="shared" si="4"/>
        <v>[{MountingType,Through Hole},{PackageCase,TO-92-3}]</v>
      </c>
    </row>
    <row r="143" spans="1:19" ht="76.5">
      <c r="A143" s="4" t="s">
        <v>413</v>
      </c>
      <c r="B143" s="17"/>
      <c r="C143" s="17" t="s">
        <v>414</v>
      </c>
      <c r="D143" s="4" t="s">
        <v>429</v>
      </c>
      <c r="E143" s="4"/>
      <c r="F143" s="17" t="s">
        <v>430</v>
      </c>
      <c r="G143" s="4" t="s">
        <v>799</v>
      </c>
      <c r="H143" s="4" t="s">
        <v>800</v>
      </c>
      <c r="I143" s="4" t="s">
        <v>433</v>
      </c>
      <c r="J143" s="4" t="s">
        <v>801</v>
      </c>
      <c r="K143" s="3">
        <v>1</v>
      </c>
      <c r="L143" s="3">
        <v>0</v>
      </c>
      <c r="M143" s="3" t="s">
        <v>27</v>
      </c>
      <c r="N143" s="3" t="s">
        <v>45</v>
      </c>
      <c r="O143" s="12" t="s">
        <v>802</v>
      </c>
      <c r="P143" s="7" t="s">
        <v>794</v>
      </c>
      <c r="Q143" s="3" t="s">
        <v>40</v>
      </c>
      <c r="R143" s="3" t="s">
        <v>795</v>
      </c>
      <c r="S143" s="9" t="str">
        <f t="shared" si="4"/>
        <v>[{MountingType,Through Hole},{PackageCase,TO-92-3}]</v>
      </c>
    </row>
    <row r="144" spans="1:19" ht="89.25">
      <c r="A144" s="4" t="s">
        <v>532</v>
      </c>
      <c r="B144" s="17"/>
      <c r="C144" s="17" t="s">
        <v>533</v>
      </c>
      <c r="D144" s="4" t="s">
        <v>591</v>
      </c>
      <c r="E144" s="4"/>
      <c r="F144" s="17" t="s">
        <v>592</v>
      </c>
      <c r="G144" s="4" t="s">
        <v>803</v>
      </c>
      <c r="H144" s="4" t="s">
        <v>594</v>
      </c>
      <c r="I144" s="4" t="s">
        <v>595</v>
      </c>
      <c r="J144" s="4" t="s">
        <v>804</v>
      </c>
      <c r="K144" s="3">
        <v>3</v>
      </c>
      <c r="L144" s="3">
        <v>865.35450000000003</v>
      </c>
      <c r="M144" s="3" t="s">
        <v>27</v>
      </c>
      <c r="N144" s="3" t="s">
        <v>643</v>
      </c>
      <c r="O144" s="12" t="s">
        <v>764</v>
      </c>
      <c r="P144" s="7" t="s">
        <v>765</v>
      </c>
      <c r="Q144" s="3" t="s">
        <v>40</v>
      </c>
      <c r="R144" s="3" t="s">
        <v>782</v>
      </c>
      <c r="S144" s="9" t="str">
        <f t="shared" si="4"/>
        <v>[{MountingType,Through Hole},{PackageCase,40-PDIP}]</v>
      </c>
    </row>
    <row r="145" spans="1:19" ht="63.75">
      <c r="A145" s="4" t="s">
        <v>805</v>
      </c>
      <c r="B145" s="4"/>
      <c r="C145" s="4" t="s">
        <v>806</v>
      </c>
      <c r="D145" s="4" t="s">
        <v>807</v>
      </c>
      <c r="E145" s="4"/>
      <c r="F145" s="4" t="s">
        <v>808</v>
      </c>
      <c r="G145" s="4" t="s">
        <v>809</v>
      </c>
      <c r="H145" s="4" t="s">
        <v>810</v>
      </c>
      <c r="I145" s="4" t="s">
        <v>811</v>
      </c>
      <c r="J145" s="4" t="s">
        <v>812</v>
      </c>
      <c r="K145" s="3">
        <v>2</v>
      </c>
      <c r="L145" s="10">
        <v>150</v>
      </c>
      <c r="M145" s="3"/>
      <c r="N145" s="3"/>
      <c r="O145" s="7" t="s">
        <v>813</v>
      </c>
      <c r="P145" s="7" t="s">
        <v>814</v>
      </c>
      <c r="Q145" s="3" t="s">
        <v>40</v>
      </c>
      <c r="R145" s="3"/>
      <c r="S145" s="9" t="str">
        <f>CONCATENATE("[","{","MountingType",",",Q145,"}","]")</f>
        <v>[{MountingType,Through Hole}]</v>
      </c>
    </row>
    <row r="146" spans="1:19" ht="63.75">
      <c r="A146" s="4" t="s">
        <v>805</v>
      </c>
      <c r="B146" s="4"/>
      <c r="C146" s="4" t="s">
        <v>806</v>
      </c>
      <c r="D146" s="4" t="s">
        <v>807</v>
      </c>
      <c r="E146" s="4"/>
      <c r="F146" s="4" t="s">
        <v>808</v>
      </c>
      <c r="G146" s="4" t="s">
        <v>815</v>
      </c>
      <c r="H146" s="4" t="s">
        <v>810</v>
      </c>
      <c r="I146" s="4" t="s">
        <v>816</v>
      </c>
      <c r="J146" s="4" t="s">
        <v>817</v>
      </c>
      <c r="K146" s="3">
        <v>2</v>
      </c>
      <c r="L146" s="10">
        <v>400</v>
      </c>
      <c r="N146" s="3"/>
      <c r="O146" s="7" t="s">
        <v>818</v>
      </c>
      <c r="P146" s="7" t="s">
        <v>819</v>
      </c>
      <c r="Q146" s="3" t="s">
        <v>40</v>
      </c>
      <c r="R146" s="3"/>
      <c r="S146" s="9" t="str">
        <f t="shared" ref="S146:S179" si="5">CONCATENATE("[","{","MountingType",",",Q146,"}","]")</f>
        <v>[{MountingType,Through Hole}]</v>
      </c>
    </row>
    <row r="147" spans="1:19" ht="63.75">
      <c r="A147" s="4" t="s">
        <v>805</v>
      </c>
      <c r="B147" s="4"/>
      <c r="C147" s="4" t="s">
        <v>806</v>
      </c>
      <c r="D147" s="4" t="s">
        <v>820</v>
      </c>
      <c r="E147" s="4"/>
      <c r="F147" s="4" t="s">
        <v>821</v>
      </c>
      <c r="G147" s="4" t="s">
        <v>822</v>
      </c>
      <c r="H147" s="4" t="s">
        <v>810</v>
      </c>
      <c r="I147" s="4" t="s">
        <v>823</v>
      </c>
      <c r="J147" s="4" t="s">
        <v>824</v>
      </c>
      <c r="K147" s="3">
        <v>2</v>
      </c>
      <c r="L147" s="10">
        <v>700</v>
      </c>
      <c r="N147" s="3"/>
      <c r="O147" s="7" t="s">
        <v>825</v>
      </c>
      <c r="P147" s="7" t="s">
        <v>826</v>
      </c>
      <c r="Q147" s="3" t="s">
        <v>40</v>
      </c>
      <c r="R147" s="3"/>
      <c r="S147" s="9" t="str">
        <f t="shared" si="5"/>
        <v>[{MountingType,Through Hole}]</v>
      </c>
    </row>
    <row r="148" spans="1:19" ht="63.75">
      <c r="A148" s="4" t="s">
        <v>805</v>
      </c>
      <c r="B148" s="4"/>
      <c r="C148" s="4" t="s">
        <v>806</v>
      </c>
      <c r="D148" s="4" t="s">
        <v>807</v>
      </c>
      <c r="E148" s="4"/>
      <c r="F148" s="4" t="s">
        <v>808</v>
      </c>
      <c r="G148" s="4" t="s">
        <v>827</v>
      </c>
      <c r="H148" s="4" t="s">
        <v>810</v>
      </c>
      <c r="I148" s="4" t="s">
        <v>828</v>
      </c>
      <c r="J148" s="4" t="s">
        <v>829</v>
      </c>
      <c r="K148" s="3">
        <v>2</v>
      </c>
      <c r="L148" s="10">
        <v>200</v>
      </c>
      <c r="O148" s="7" t="s">
        <v>830</v>
      </c>
      <c r="P148" s="7" t="s">
        <v>831</v>
      </c>
      <c r="Q148" s="3" t="s">
        <v>40</v>
      </c>
      <c r="R148" s="3"/>
      <c r="S148" s="9" t="str">
        <f t="shared" si="5"/>
        <v>[{MountingType,Through Hole}]</v>
      </c>
    </row>
    <row r="149" spans="1:19" ht="51">
      <c r="A149" s="4" t="s">
        <v>805</v>
      </c>
      <c r="B149" s="4"/>
      <c r="C149" s="4" t="s">
        <v>806</v>
      </c>
      <c r="D149" s="4" t="s">
        <v>832</v>
      </c>
      <c r="E149" s="4"/>
      <c r="F149" s="4" t="s">
        <v>833</v>
      </c>
      <c r="G149" s="4" t="s">
        <v>834</v>
      </c>
      <c r="H149" s="4" t="s">
        <v>810</v>
      </c>
      <c r="I149" s="4" t="s">
        <v>835</v>
      </c>
      <c r="J149" s="4" t="s">
        <v>836</v>
      </c>
      <c r="K149" s="3">
        <v>2</v>
      </c>
      <c r="L149" s="10">
        <v>150</v>
      </c>
      <c r="O149" s="7" t="s">
        <v>837</v>
      </c>
      <c r="P149" s="7" t="s">
        <v>838</v>
      </c>
      <c r="Q149" s="3" t="s">
        <v>40</v>
      </c>
      <c r="R149" s="3"/>
      <c r="S149" s="9" t="str">
        <f t="shared" si="5"/>
        <v>[{MountingType,Through Hole}]</v>
      </c>
    </row>
    <row r="150" spans="1:19" ht="63.75">
      <c r="A150" s="4" t="s">
        <v>805</v>
      </c>
      <c r="B150" s="4"/>
      <c r="C150" s="4" t="s">
        <v>806</v>
      </c>
      <c r="D150" s="4" t="s">
        <v>807</v>
      </c>
      <c r="E150" s="4"/>
      <c r="F150" s="4" t="s">
        <v>808</v>
      </c>
      <c r="G150" s="4" t="s">
        <v>839</v>
      </c>
      <c r="H150" s="4" t="s">
        <v>810</v>
      </c>
      <c r="I150" s="4" t="s">
        <v>840</v>
      </c>
      <c r="J150" s="4" t="s">
        <v>841</v>
      </c>
      <c r="K150" s="3">
        <v>2</v>
      </c>
      <c r="L150" s="10">
        <v>400</v>
      </c>
      <c r="O150" s="7" t="s">
        <v>842</v>
      </c>
      <c r="P150" s="7" t="s">
        <v>843</v>
      </c>
      <c r="Q150" s="3" t="s">
        <v>40</v>
      </c>
      <c r="R150" s="3"/>
      <c r="S150" s="9" t="str">
        <f t="shared" si="5"/>
        <v>[{MountingType,Through Hole}]</v>
      </c>
    </row>
    <row r="151" spans="1:19" ht="63.75">
      <c r="A151" s="4" t="s">
        <v>805</v>
      </c>
      <c r="B151" s="4"/>
      <c r="C151" s="4" t="s">
        <v>806</v>
      </c>
      <c r="D151" s="4" t="s">
        <v>820</v>
      </c>
      <c r="E151" s="4"/>
      <c r="F151" s="4" t="s">
        <v>821</v>
      </c>
      <c r="G151" s="4" t="s">
        <v>844</v>
      </c>
      <c r="H151" s="4" t="s">
        <v>810</v>
      </c>
      <c r="I151" s="4" t="s">
        <v>845</v>
      </c>
      <c r="J151" s="4" t="s">
        <v>846</v>
      </c>
      <c r="K151" s="3">
        <v>2</v>
      </c>
      <c r="L151" s="10">
        <v>150</v>
      </c>
      <c r="O151" s="7" t="s">
        <v>847</v>
      </c>
      <c r="P151" s="7" t="s">
        <v>848</v>
      </c>
      <c r="Q151" s="3" t="s">
        <v>40</v>
      </c>
      <c r="R151" s="3"/>
      <c r="S151" s="9" t="str">
        <f t="shared" si="5"/>
        <v>[{MountingType,Through Hole}]</v>
      </c>
    </row>
    <row r="152" spans="1:19" ht="38.25">
      <c r="A152" s="4" t="s">
        <v>532</v>
      </c>
      <c r="B152" s="17"/>
      <c r="C152" s="17" t="s">
        <v>533</v>
      </c>
      <c r="D152" s="4" t="s">
        <v>770</v>
      </c>
      <c r="E152" s="4"/>
      <c r="F152" s="3" t="s">
        <v>771</v>
      </c>
      <c r="G152" s="4">
        <v>1085</v>
      </c>
      <c r="H152" s="4" t="s">
        <v>849</v>
      </c>
      <c r="I152" s="4" t="s">
        <v>850</v>
      </c>
      <c r="J152" s="4" t="s">
        <v>851</v>
      </c>
      <c r="K152" s="3">
        <v>1</v>
      </c>
      <c r="L152" s="10">
        <v>4200</v>
      </c>
      <c r="M152" s="4" t="s">
        <v>45</v>
      </c>
      <c r="O152" s="7" t="s">
        <v>852</v>
      </c>
      <c r="P152" s="7" t="s">
        <v>853</v>
      </c>
      <c r="Q152" s="3" t="s">
        <v>40</v>
      </c>
      <c r="R152" s="3"/>
      <c r="S152" s="9" t="str">
        <f t="shared" si="5"/>
        <v>[{MountingType,Through Hole}]</v>
      </c>
    </row>
    <row r="153" spans="1:19" ht="102">
      <c r="A153" s="4" t="s">
        <v>805</v>
      </c>
      <c r="B153" s="4"/>
      <c r="C153" s="4" t="s">
        <v>806</v>
      </c>
      <c r="D153" s="4" t="s">
        <v>854</v>
      </c>
      <c r="E153" s="4"/>
      <c r="F153" s="4" t="s">
        <v>855</v>
      </c>
      <c r="G153" s="4" t="s">
        <v>856</v>
      </c>
      <c r="H153" s="4" t="s">
        <v>810</v>
      </c>
      <c r="I153" s="4" t="s">
        <v>857</v>
      </c>
      <c r="J153" s="4" t="s">
        <v>858</v>
      </c>
      <c r="K153" s="3">
        <v>2</v>
      </c>
      <c r="L153" s="10">
        <v>150</v>
      </c>
      <c r="O153" s="7" t="s">
        <v>859</v>
      </c>
      <c r="P153" s="7" t="s">
        <v>859</v>
      </c>
      <c r="Q153" s="3" t="s">
        <v>40</v>
      </c>
      <c r="R153" s="3"/>
      <c r="S153" s="9" t="str">
        <f t="shared" si="5"/>
        <v>[{MountingType,Through Hole}]</v>
      </c>
    </row>
    <row r="154" spans="1:19" ht="63.75">
      <c r="A154" s="4" t="s">
        <v>805</v>
      </c>
      <c r="B154" s="4"/>
      <c r="C154" s="4" t="s">
        <v>806</v>
      </c>
      <c r="D154" s="4" t="s">
        <v>820</v>
      </c>
      <c r="E154" s="4"/>
      <c r="F154" s="4" t="s">
        <v>821</v>
      </c>
      <c r="G154" s="4" t="s">
        <v>860</v>
      </c>
      <c r="H154" s="4" t="s">
        <v>810</v>
      </c>
      <c r="I154" s="4" t="s">
        <v>861</v>
      </c>
      <c r="J154" s="4" t="s">
        <v>862</v>
      </c>
      <c r="K154" s="3">
        <v>2</v>
      </c>
      <c r="L154" s="10">
        <v>150</v>
      </c>
      <c r="O154" s="7" t="s">
        <v>863</v>
      </c>
      <c r="P154" s="7" t="s">
        <v>864</v>
      </c>
      <c r="Q154" s="3" t="s">
        <v>40</v>
      </c>
      <c r="R154" s="3"/>
      <c r="S154" s="9" t="str">
        <f t="shared" si="5"/>
        <v>[{MountingType,Through Hole}]</v>
      </c>
    </row>
    <row r="155" spans="1:19" ht="63.75">
      <c r="A155" s="4" t="s">
        <v>805</v>
      </c>
      <c r="B155" s="4"/>
      <c r="C155" s="4" t="s">
        <v>806</v>
      </c>
      <c r="D155" s="4" t="s">
        <v>807</v>
      </c>
      <c r="E155" s="4"/>
      <c r="F155" s="4" t="s">
        <v>808</v>
      </c>
      <c r="G155" s="4" t="s">
        <v>865</v>
      </c>
      <c r="H155" s="4" t="s">
        <v>810</v>
      </c>
      <c r="I155" s="4" t="s">
        <v>866</v>
      </c>
      <c r="J155" s="4" t="s">
        <v>867</v>
      </c>
      <c r="K155" s="3">
        <v>2</v>
      </c>
      <c r="L155" s="10">
        <v>150</v>
      </c>
      <c r="O155" s="7" t="s">
        <v>868</v>
      </c>
      <c r="P155" s="7" t="s">
        <v>869</v>
      </c>
      <c r="Q155" s="3" t="s">
        <v>40</v>
      </c>
      <c r="R155" s="3"/>
      <c r="S155" s="9" t="str">
        <f t="shared" si="5"/>
        <v>[{MountingType,Through Hole}]</v>
      </c>
    </row>
    <row r="156" spans="1:19" ht="51">
      <c r="A156" s="4" t="s">
        <v>805</v>
      </c>
      <c r="B156" s="4"/>
      <c r="C156" s="4" t="s">
        <v>806</v>
      </c>
      <c r="D156" s="4" t="s">
        <v>832</v>
      </c>
      <c r="E156" s="4"/>
      <c r="F156" s="4" t="s">
        <v>833</v>
      </c>
      <c r="G156" s="4" t="s">
        <v>870</v>
      </c>
      <c r="H156" s="4" t="s">
        <v>810</v>
      </c>
      <c r="I156" s="4" t="s">
        <v>871</v>
      </c>
      <c r="J156" s="4" t="s">
        <v>872</v>
      </c>
      <c r="K156" s="3">
        <v>2</v>
      </c>
      <c r="L156" s="10">
        <v>860</v>
      </c>
      <c r="O156" s="7" t="s">
        <v>873</v>
      </c>
      <c r="P156" s="7" t="s">
        <v>874</v>
      </c>
      <c r="Q156" s="3" t="s">
        <v>40</v>
      </c>
      <c r="R156" s="3"/>
      <c r="S156" s="9" t="str">
        <f t="shared" si="5"/>
        <v>[{MountingType,Through Hole}]</v>
      </c>
    </row>
    <row r="157" spans="1:19" ht="38.25">
      <c r="A157" s="4" t="s">
        <v>805</v>
      </c>
      <c r="B157" s="4"/>
      <c r="C157" s="4" t="s">
        <v>806</v>
      </c>
      <c r="D157" s="4" t="s">
        <v>875</v>
      </c>
      <c r="E157" s="4"/>
      <c r="F157" s="4"/>
      <c r="G157" s="4" t="s">
        <v>876</v>
      </c>
      <c r="H157" s="4" t="s">
        <v>810</v>
      </c>
      <c r="I157" s="4" t="s">
        <v>877</v>
      </c>
      <c r="J157" s="4" t="s">
        <v>878</v>
      </c>
      <c r="K157" s="3">
        <v>4</v>
      </c>
      <c r="L157" s="10">
        <v>200</v>
      </c>
      <c r="O157" s="7" t="s">
        <v>879</v>
      </c>
      <c r="P157" s="7" t="s">
        <v>880</v>
      </c>
      <c r="Q157" s="3" t="s">
        <v>40</v>
      </c>
      <c r="R157" s="3"/>
      <c r="S157" s="9" t="str">
        <f t="shared" si="5"/>
        <v>[{MountingType,Through Hole}]</v>
      </c>
    </row>
    <row r="158" spans="1:19" ht="63.75">
      <c r="A158" s="4" t="s">
        <v>805</v>
      </c>
      <c r="B158" s="4"/>
      <c r="C158" s="4" t="s">
        <v>806</v>
      </c>
      <c r="D158" s="4" t="s">
        <v>807</v>
      </c>
      <c r="E158" s="4"/>
      <c r="F158" s="4" t="s">
        <v>808</v>
      </c>
      <c r="G158" s="4" t="s">
        <v>881</v>
      </c>
      <c r="H158" s="4" t="s">
        <v>810</v>
      </c>
      <c r="I158" s="4" t="s">
        <v>882</v>
      </c>
      <c r="J158" s="4" t="s">
        <v>883</v>
      </c>
      <c r="K158" s="3">
        <v>2</v>
      </c>
      <c r="L158" s="10">
        <v>500</v>
      </c>
      <c r="O158" s="7" t="s">
        <v>884</v>
      </c>
      <c r="P158" s="7" t="s">
        <v>885</v>
      </c>
      <c r="Q158" s="3" t="s">
        <v>40</v>
      </c>
      <c r="R158" s="3"/>
      <c r="S158" s="9" t="str">
        <f t="shared" si="5"/>
        <v>[{MountingType,Through Hole}]</v>
      </c>
    </row>
    <row r="159" spans="1:19" ht="51">
      <c r="A159" s="4" t="s">
        <v>805</v>
      </c>
      <c r="B159" s="4"/>
      <c r="C159" s="4" t="s">
        <v>806</v>
      </c>
      <c r="D159" s="4" t="s">
        <v>886</v>
      </c>
      <c r="E159" s="4"/>
      <c r="F159" s="4" t="s">
        <v>887</v>
      </c>
      <c r="G159" s="4" t="s">
        <v>888</v>
      </c>
      <c r="H159" s="4" t="s">
        <v>810</v>
      </c>
      <c r="I159" s="4" t="s">
        <v>889</v>
      </c>
      <c r="J159" s="4" t="s">
        <v>890</v>
      </c>
      <c r="K159" s="3">
        <v>2</v>
      </c>
      <c r="L159" s="10">
        <v>150</v>
      </c>
      <c r="O159" s="7" t="s">
        <v>891</v>
      </c>
      <c r="P159" s="7" t="s">
        <v>892</v>
      </c>
      <c r="Q159" s="3" t="s">
        <v>40</v>
      </c>
      <c r="R159" s="3"/>
      <c r="S159" s="9" t="str">
        <f t="shared" si="5"/>
        <v>[{MountingType,Through Hole}]</v>
      </c>
    </row>
    <row r="160" spans="1:19" ht="89.25">
      <c r="A160" s="4" t="s">
        <v>805</v>
      </c>
      <c r="B160" s="4"/>
      <c r="C160" s="4" t="s">
        <v>806</v>
      </c>
      <c r="D160" s="4" t="s">
        <v>893</v>
      </c>
      <c r="E160" s="4"/>
      <c r="F160" s="4" t="s">
        <v>894</v>
      </c>
      <c r="G160" s="4" t="s">
        <v>895</v>
      </c>
      <c r="H160" s="4" t="s">
        <v>810</v>
      </c>
      <c r="I160" s="4" t="s">
        <v>896</v>
      </c>
      <c r="J160" s="4" t="s">
        <v>897</v>
      </c>
      <c r="K160" s="3">
        <v>2</v>
      </c>
      <c r="L160" s="10">
        <v>200</v>
      </c>
      <c r="O160" s="7" t="s">
        <v>898</v>
      </c>
      <c r="P160" s="7" t="s">
        <v>898</v>
      </c>
      <c r="Q160" s="3" t="s">
        <v>40</v>
      </c>
      <c r="R160" s="3"/>
      <c r="S160" s="9" t="str">
        <f t="shared" si="5"/>
        <v>[{MountingType,Through Hole}]</v>
      </c>
    </row>
    <row r="161" spans="1:19" ht="51">
      <c r="A161" s="4" t="s">
        <v>805</v>
      </c>
      <c r="B161" s="4"/>
      <c r="C161" s="4" t="s">
        <v>806</v>
      </c>
      <c r="D161" s="4" t="s">
        <v>899</v>
      </c>
      <c r="E161" s="4"/>
      <c r="F161" s="4" t="s">
        <v>900</v>
      </c>
      <c r="G161" s="4" t="s">
        <v>901</v>
      </c>
      <c r="H161" s="4" t="s">
        <v>810</v>
      </c>
      <c r="I161" s="4" t="s">
        <v>902</v>
      </c>
      <c r="J161" s="4" t="s">
        <v>903</v>
      </c>
      <c r="K161" s="3">
        <v>2</v>
      </c>
      <c r="L161" s="10">
        <v>150</v>
      </c>
      <c r="O161" s="7" t="s">
        <v>904</v>
      </c>
      <c r="P161" s="12" t="s">
        <v>905</v>
      </c>
      <c r="Q161" s="3" t="s">
        <v>40</v>
      </c>
      <c r="R161" s="3"/>
      <c r="S161" s="9" t="str">
        <f t="shared" si="5"/>
        <v>[{MountingType,Through Hole}]</v>
      </c>
    </row>
    <row r="162" spans="1:19" ht="76.5">
      <c r="A162" s="4" t="s">
        <v>805</v>
      </c>
      <c r="B162" s="4"/>
      <c r="C162" s="4" t="s">
        <v>806</v>
      </c>
      <c r="D162" s="4" t="s">
        <v>906</v>
      </c>
      <c r="E162" s="4"/>
      <c r="F162" s="4" t="s">
        <v>907</v>
      </c>
      <c r="G162" s="4" t="s">
        <v>908</v>
      </c>
      <c r="H162" s="4" t="s">
        <v>810</v>
      </c>
      <c r="I162" s="4" t="s">
        <v>909</v>
      </c>
      <c r="J162" s="4" t="s">
        <v>910</v>
      </c>
      <c r="K162" s="3">
        <v>2</v>
      </c>
      <c r="L162" s="10">
        <v>150</v>
      </c>
      <c r="O162" s="7" t="s">
        <v>911</v>
      </c>
      <c r="P162" s="7" t="s">
        <v>912</v>
      </c>
      <c r="Q162" s="3" t="s">
        <v>40</v>
      </c>
      <c r="R162" s="3"/>
      <c r="S162" s="9" t="str">
        <f t="shared" si="5"/>
        <v>[{MountingType,Through Hole}]</v>
      </c>
    </row>
    <row r="163" spans="1:19" ht="76.5">
      <c r="A163" s="4" t="s">
        <v>805</v>
      </c>
      <c r="B163" s="4"/>
      <c r="C163" s="4" t="s">
        <v>806</v>
      </c>
      <c r="D163" s="4" t="s">
        <v>906</v>
      </c>
      <c r="E163" s="4"/>
      <c r="F163" s="4" t="s">
        <v>907</v>
      </c>
      <c r="G163" s="4" t="s">
        <v>913</v>
      </c>
      <c r="H163" s="4" t="s">
        <v>810</v>
      </c>
      <c r="I163" s="4" t="s">
        <v>914</v>
      </c>
      <c r="J163" s="4" t="s">
        <v>910</v>
      </c>
      <c r="K163" s="3">
        <v>2</v>
      </c>
      <c r="L163" s="10">
        <v>150</v>
      </c>
      <c r="O163" s="7" t="s">
        <v>915</v>
      </c>
      <c r="P163" s="7" t="s">
        <v>912</v>
      </c>
      <c r="Q163" s="3" t="s">
        <v>40</v>
      </c>
      <c r="R163" s="3"/>
      <c r="S163" s="9" t="str">
        <f t="shared" si="5"/>
        <v>[{MountingType,Through Hole}]</v>
      </c>
    </row>
    <row r="164" spans="1:19" ht="102">
      <c r="A164" s="4" t="s">
        <v>805</v>
      </c>
      <c r="B164" s="4"/>
      <c r="C164" s="4" t="s">
        <v>806</v>
      </c>
      <c r="D164" s="4" t="s">
        <v>854</v>
      </c>
      <c r="E164" s="4"/>
      <c r="F164" s="4" t="s">
        <v>855</v>
      </c>
      <c r="G164" s="4" t="s">
        <v>916</v>
      </c>
      <c r="H164" s="4" t="s">
        <v>810</v>
      </c>
      <c r="I164" s="4" t="s">
        <v>917</v>
      </c>
      <c r="J164" s="4" t="s">
        <v>918</v>
      </c>
      <c r="K164" s="3">
        <v>4</v>
      </c>
      <c r="L164" s="10">
        <v>150</v>
      </c>
      <c r="O164" s="7" t="s">
        <v>919</v>
      </c>
      <c r="P164" s="7" t="s">
        <v>920</v>
      </c>
      <c r="Q164" s="3" t="s">
        <v>40</v>
      </c>
      <c r="R164" s="3"/>
      <c r="S164" s="9" t="str">
        <f t="shared" si="5"/>
        <v>[{MountingType,Through Hole}]</v>
      </c>
    </row>
    <row r="165" spans="1:19" ht="63.75">
      <c r="A165" s="4" t="s">
        <v>805</v>
      </c>
      <c r="B165" s="4"/>
      <c r="C165" s="4" t="s">
        <v>806</v>
      </c>
      <c r="D165" s="4" t="s">
        <v>807</v>
      </c>
      <c r="E165" s="4"/>
      <c r="F165" s="4" t="s">
        <v>808</v>
      </c>
      <c r="G165" s="4" t="s">
        <v>921</v>
      </c>
      <c r="H165" s="4" t="s">
        <v>810</v>
      </c>
      <c r="I165" s="4" t="s">
        <v>922</v>
      </c>
      <c r="J165" s="4" t="s">
        <v>923</v>
      </c>
      <c r="K165" s="3">
        <v>1</v>
      </c>
      <c r="L165" s="10">
        <v>230</v>
      </c>
      <c r="O165" s="7" t="s">
        <v>924</v>
      </c>
      <c r="P165" s="7" t="s">
        <v>925</v>
      </c>
      <c r="Q165" s="3" t="s">
        <v>40</v>
      </c>
      <c r="R165" s="3"/>
      <c r="S165" s="9" t="str">
        <f t="shared" si="5"/>
        <v>[{MountingType,Through Hole}]</v>
      </c>
    </row>
    <row r="166" spans="1:19" ht="127.5">
      <c r="A166" s="4" t="s">
        <v>805</v>
      </c>
      <c r="B166" s="4"/>
      <c r="C166" s="4" t="s">
        <v>806</v>
      </c>
      <c r="D166" s="4" t="s">
        <v>926</v>
      </c>
      <c r="E166" s="4"/>
      <c r="F166" s="4" t="s">
        <v>927</v>
      </c>
      <c r="G166" s="4" t="s">
        <v>928</v>
      </c>
      <c r="H166" s="4" t="s">
        <v>810</v>
      </c>
      <c r="I166" s="4" t="s">
        <v>929</v>
      </c>
      <c r="J166" s="4" t="s">
        <v>930</v>
      </c>
      <c r="K166" s="3">
        <v>2</v>
      </c>
      <c r="L166" s="10">
        <v>200</v>
      </c>
      <c r="O166" s="7" t="s">
        <v>931</v>
      </c>
      <c r="P166" s="7" t="s">
        <v>932</v>
      </c>
      <c r="Q166" s="3" t="s">
        <v>40</v>
      </c>
      <c r="R166" s="3"/>
      <c r="S166" s="9" t="str">
        <f t="shared" si="5"/>
        <v>[{MountingType,Through Hole}]</v>
      </c>
    </row>
    <row r="167" spans="1:19" ht="63.75">
      <c r="A167" s="4" t="s">
        <v>805</v>
      </c>
      <c r="B167" s="4"/>
      <c r="C167" s="4" t="s">
        <v>806</v>
      </c>
      <c r="D167" s="4" t="s">
        <v>807</v>
      </c>
      <c r="E167" s="4"/>
      <c r="F167" s="4" t="s">
        <v>808</v>
      </c>
      <c r="G167" s="4" t="s">
        <v>933</v>
      </c>
      <c r="H167" s="4" t="s">
        <v>810</v>
      </c>
      <c r="I167" s="4" t="s">
        <v>934</v>
      </c>
      <c r="J167" s="4" t="s">
        <v>935</v>
      </c>
      <c r="K167" s="3">
        <v>2</v>
      </c>
      <c r="L167" s="10">
        <v>150</v>
      </c>
      <c r="O167" s="7" t="s">
        <v>936</v>
      </c>
      <c r="P167" s="7" t="s">
        <v>937</v>
      </c>
      <c r="Q167" s="3" t="s">
        <v>40</v>
      </c>
      <c r="R167" s="3"/>
      <c r="S167" s="9" t="str">
        <f t="shared" si="5"/>
        <v>[{MountingType,Through Hole}]</v>
      </c>
    </row>
    <row r="168" spans="1:19" ht="51">
      <c r="A168" s="4" t="s">
        <v>805</v>
      </c>
      <c r="B168" s="4"/>
      <c r="C168" s="4" t="s">
        <v>806</v>
      </c>
      <c r="D168" s="4" t="s">
        <v>938</v>
      </c>
      <c r="E168" s="4"/>
      <c r="F168" s="4" t="s">
        <v>939</v>
      </c>
      <c r="G168" s="4" t="s">
        <v>940</v>
      </c>
      <c r="H168" s="4" t="s">
        <v>810</v>
      </c>
      <c r="I168" s="4" t="s">
        <v>941</v>
      </c>
      <c r="J168" s="4" t="s">
        <v>942</v>
      </c>
      <c r="K168" s="3">
        <v>2</v>
      </c>
      <c r="L168" s="10">
        <v>200</v>
      </c>
      <c r="O168" s="7" t="s">
        <v>943</v>
      </c>
      <c r="P168" s="7" t="s">
        <v>944</v>
      </c>
      <c r="Q168" s="3" t="s">
        <v>40</v>
      </c>
      <c r="R168" s="3"/>
      <c r="S168" s="9" t="str">
        <f t="shared" si="5"/>
        <v>[{MountingType,Through Hole}]</v>
      </c>
    </row>
    <row r="169" spans="1:19" ht="38.25">
      <c r="A169" s="4" t="s">
        <v>805</v>
      </c>
      <c r="B169" s="4"/>
      <c r="C169" s="4" t="s">
        <v>806</v>
      </c>
      <c r="D169" s="4" t="s">
        <v>875</v>
      </c>
      <c r="E169" s="4"/>
      <c r="F169" s="4"/>
      <c r="G169" s="4" t="s">
        <v>945</v>
      </c>
      <c r="H169" s="4" t="s">
        <v>810</v>
      </c>
      <c r="I169" s="4" t="s">
        <v>946</v>
      </c>
      <c r="J169" s="4" t="s">
        <v>947</v>
      </c>
      <c r="K169" s="3">
        <v>2</v>
      </c>
      <c r="L169" s="10">
        <v>150</v>
      </c>
      <c r="O169" s="7" t="s">
        <v>948</v>
      </c>
      <c r="P169" s="7" t="s">
        <v>949</v>
      </c>
      <c r="Q169" s="3" t="s">
        <v>40</v>
      </c>
      <c r="R169" s="3"/>
      <c r="S169" s="9" t="str">
        <f t="shared" si="5"/>
        <v>[{MountingType,Through Hole}]</v>
      </c>
    </row>
    <row r="170" spans="1:19" ht="63.75">
      <c r="A170" s="4" t="s">
        <v>805</v>
      </c>
      <c r="B170" s="4"/>
      <c r="C170" s="4" t="s">
        <v>806</v>
      </c>
      <c r="D170" s="4" t="s">
        <v>807</v>
      </c>
      <c r="E170" s="4"/>
      <c r="F170" s="4" t="s">
        <v>808</v>
      </c>
      <c r="G170" s="4" t="s">
        <v>950</v>
      </c>
      <c r="H170" s="4" t="s">
        <v>810</v>
      </c>
      <c r="I170" s="4" t="s">
        <v>951</v>
      </c>
      <c r="J170" s="4" t="s">
        <v>952</v>
      </c>
      <c r="K170" s="3">
        <v>2</v>
      </c>
      <c r="L170" s="10">
        <v>370</v>
      </c>
      <c r="O170" s="7" t="s">
        <v>953</v>
      </c>
      <c r="P170" s="7" t="s">
        <v>954</v>
      </c>
      <c r="Q170" s="3" t="s">
        <v>40</v>
      </c>
      <c r="R170" s="3"/>
      <c r="S170" s="9" t="str">
        <f>CONCATENATE("[","{","MountingType",",",Q170,"}","]")</f>
        <v>[{MountingType,Through Hole}]</v>
      </c>
    </row>
    <row r="171" spans="1:19" ht="102">
      <c r="A171" s="4" t="s">
        <v>805</v>
      </c>
      <c r="B171" s="4"/>
      <c r="C171" s="4" t="s">
        <v>806</v>
      </c>
      <c r="D171" s="4" t="s">
        <v>854</v>
      </c>
      <c r="E171" s="4"/>
      <c r="F171" s="4" t="s">
        <v>855</v>
      </c>
      <c r="G171" s="4" t="s">
        <v>955</v>
      </c>
      <c r="H171" s="4" t="s">
        <v>810</v>
      </c>
      <c r="I171" s="4" t="s">
        <v>956</v>
      </c>
      <c r="J171" s="4" t="s">
        <v>957</v>
      </c>
      <c r="K171" s="3">
        <v>2</v>
      </c>
      <c r="L171" s="10">
        <v>150</v>
      </c>
      <c r="O171" s="7" t="s">
        <v>958</v>
      </c>
      <c r="P171" s="7" t="s">
        <v>959</v>
      </c>
      <c r="Q171" s="3" t="s">
        <v>40</v>
      </c>
      <c r="R171" s="3"/>
      <c r="S171" s="9" t="str">
        <f t="shared" si="5"/>
        <v>[{MountingType,Through Hole}]</v>
      </c>
    </row>
    <row r="172" spans="1:19" ht="102">
      <c r="A172" s="4" t="s">
        <v>805</v>
      </c>
      <c r="B172" s="4"/>
      <c r="C172" s="4" t="s">
        <v>806</v>
      </c>
      <c r="D172" s="4" t="s">
        <v>854</v>
      </c>
      <c r="E172" s="4"/>
      <c r="F172" s="4" t="s">
        <v>855</v>
      </c>
      <c r="G172" s="4" t="s">
        <v>960</v>
      </c>
      <c r="H172" s="4" t="s">
        <v>810</v>
      </c>
      <c r="I172" s="4" t="s">
        <v>961</v>
      </c>
      <c r="J172" s="4" t="s">
        <v>962</v>
      </c>
      <c r="K172" s="3">
        <v>2</v>
      </c>
      <c r="L172" s="10">
        <v>150</v>
      </c>
      <c r="O172" s="7" t="s">
        <v>963</v>
      </c>
      <c r="P172" s="7" t="s">
        <v>964</v>
      </c>
      <c r="Q172" s="3" t="s">
        <v>40</v>
      </c>
      <c r="R172" s="3"/>
      <c r="S172" s="9" t="str">
        <f t="shared" si="5"/>
        <v>[{MountingType,Through Hole}]</v>
      </c>
    </row>
    <row r="173" spans="1:19" ht="51">
      <c r="A173" s="4" t="s">
        <v>805</v>
      </c>
      <c r="B173" s="4"/>
      <c r="C173" s="4" t="s">
        <v>806</v>
      </c>
      <c r="D173" s="4" t="s">
        <v>938</v>
      </c>
      <c r="E173" s="4"/>
      <c r="F173" s="4" t="s">
        <v>939</v>
      </c>
      <c r="G173" s="4" t="s">
        <v>965</v>
      </c>
      <c r="H173" s="4" t="s">
        <v>966</v>
      </c>
      <c r="I173" s="4" t="s">
        <v>967</v>
      </c>
      <c r="J173" s="4" t="s">
        <v>968</v>
      </c>
      <c r="K173" s="3">
        <v>1</v>
      </c>
      <c r="L173" s="10">
        <v>120</v>
      </c>
      <c r="O173" s="7" t="s">
        <v>969</v>
      </c>
      <c r="P173" s="12" t="s">
        <v>970</v>
      </c>
      <c r="Q173" s="3" t="s">
        <v>40</v>
      </c>
      <c r="R173" s="3"/>
      <c r="S173" s="9" t="str">
        <f t="shared" si="5"/>
        <v>[{MountingType,Through Hole}]</v>
      </c>
    </row>
    <row r="174" spans="1:19" ht="38.25">
      <c r="A174" s="4" t="s">
        <v>805</v>
      </c>
      <c r="B174" s="4"/>
      <c r="C174" s="4" t="s">
        <v>806</v>
      </c>
      <c r="D174" s="4" t="s">
        <v>875</v>
      </c>
      <c r="E174" s="4"/>
      <c r="F174" s="4"/>
      <c r="G174" s="4" t="s">
        <v>971</v>
      </c>
      <c r="H174" s="4" t="s">
        <v>810</v>
      </c>
      <c r="I174" s="4" t="s">
        <v>972</v>
      </c>
      <c r="J174" s="4" t="s">
        <v>973</v>
      </c>
      <c r="K174" s="3">
        <v>2</v>
      </c>
      <c r="L174" s="10">
        <v>100</v>
      </c>
      <c r="O174" s="7" t="s">
        <v>974</v>
      </c>
      <c r="P174" s="7" t="s">
        <v>975</v>
      </c>
      <c r="Q174" s="3" t="s">
        <v>40</v>
      </c>
      <c r="R174" s="3"/>
      <c r="S174" s="9" t="str">
        <f t="shared" si="5"/>
        <v>[{MountingType,Through Hole}]</v>
      </c>
    </row>
    <row r="175" spans="1:19" ht="51">
      <c r="A175" s="4" t="s">
        <v>805</v>
      </c>
      <c r="B175" s="4"/>
      <c r="C175" s="4" t="s">
        <v>806</v>
      </c>
      <c r="D175" s="4" t="s">
        <v>832</v>
      </c>
      <c r="E175" s="4"/>
      <c r="F175" s="4" t="s">
        <v>833</v>
      </c>
      <c r="G175" s="4" t="s">
        <v>976</v>
      </c>
      <c r="H175" s="4" t="s">
        <v>810</v>
      </c>
      <c r="I175" s="4" t="s">
        <v>977</v>
      </c>
      <c r="J175" s="4" t="s">
        <v>978</v>
      </c>
      <c r="K175" s="3">
        <v>2</v>
      </c>
      <c r="L175" s="10">
        <v>150</v>
      </c>
      <c r="O175" s="7" t="s">
        <v>979</v>
      </c>
      <c r="P175" s="7" t="s">
        <v>980</v>
      </c>
      <c r="Q175" s="3" t="s">
        <v>40</v>
      </c>
      <c r="R175" s="3"/>
      <c r="S175" s="9" t="str">
        <f t="shared" si="5"/>
        <v>[{MountingType,Through Hole}]</v>
      </c>
    </row>
    <row r="176" spans="1:19" ht="63.75">
      <c r="A176" s="4" t="s">
        <v>805</v>
      </c>
      <c r="B176" s="4"/>
      <c r="C176" s="4" t="s">
        <v>806</v>
      </c>
      <c r="D176" s="4" t="s">
        <v>820</v>
      </c>
      <c r="E176" s="4"/>
      <c r="F176" s="4" t="s">
        <v>821</v>
      </c>
      <c r="G176" s="4" t="s">
        <v>981</v>
      </c>
      <c r="H176" s="4" t="s">
        <v>810</v>
      </c>
      <c r="I176" s="4" t="s">
        <v>982</v>
      </c>
      <c r="J176" s="4" t="s">
        <v>983</v>
      </c>
      <c r="K176" s="3">
        <v>2</v>
      </c>
      <c r="L176" s="10">
        <v>150</v>
      </c>
      <c r="O176" s="7" t="s">
        <v>984</v>
      </c>
      <c r="P176" s="7" t="s">
        <v>985</v>
      </c>
      <c r="Q176" s="3" t="s">
        <v>40</v>
      </c>
      <c r="R176" s="3"/>
      <c r="S176" s="9" t="str">
        <f t="shared" si="5"/>
        <v>[{MountingType,Through Hole}]</v>
      </c>
    </row>
    <row r="177" spans="1:19" ht="102">
      <c r="A177" s="4" t="s">
        <v>805</v>
      </c>
      <c r="B177" s="4"/>
      <c r="C177" s="4" t="s">
        <v>806</v>
      </c>
      <c r="D177" s="4" t="s">
        <v>854</v>
      </c>
      <c r="E177" s="4"/>
      <c r="F177" s="4" t="s">
        <v>855</v>
      </c>
      <c r="G177" s="4" t="s">
        <v>986</v>
      </c>
      <c r="H177" s="4" t="s">
        <v>810</v>
      </c>
      <c r="I177" s="4" t="s">
        <v>987</v>
      </c>
      <c r="J177" s="4" t="s">
        <v>988</v>
      </c>
      <c r="K177" s="3">
        <v>2</v>
      </c>
      <c r="L177" s="10">
        <v>150</v>
      </c>
      <c r="O177" s="13" t="s">
        <v>989</v>
      </c>
      <c r="P177" s="7" t="s">
        <v>990</v>
      </c>
      <c r="Q177" s="3" t="s">
        <v>40</v>
      </c>
      <c r="R177" s="3"/>
      <c r="S177" s="9" t="str">
        <f t="shared" si="5"/>
        <v>[{MountingType,Through Hole}]</v>
      </c>
    </row>
    <row r="178" spans="1:19" ht="38.25">
      <c r="A178" s="4" t="s">
        <v>805</v>
      </c>
      <c r="B178" s="4"/>
      <c r="C178" s="4" t="s">
        <v>806</v>
      </c>
      <c r="D178" s="4" t="s">
        <v>875</v>
      </c>
      <c r="E178" s="4"/>
      <c r="F178" s="4"/>
      <c r="G178" s="4" t="s">
        <v>991</v>
      </c>
      <c r="H178" s="4" t="s">
        <v>810</v>
      </c>
      <c r="I178" s="4" t="s">
        <v>992</v>
      </c>
      <c r="J178" s="4" t="s">
        <v>993</v>
      </c>
      <c r="K178" s="3">
        <v>2</v>
      </c>
      <c r="L178" s="10">
        <v>150</v>
      </c>
      <c r="O178" s="12" t="s">
        <v>994</v>
      </c>
      <c r="P178" s="12" t="s">
        <v>995</v>
      </c>
      <c r="Q178" s="3" t="s">
        <v>40</v>
      </c>
      <c r="R178" s="3"/>
      <c r="S178" s="9" t="str">
        <f t="shared" si="5"/>
        <v>[{MountingType,Through Hole}]</v>
      </c>
    </row>
    <row r="179" spans="1:19" ht="63.75">
      <c r="A179" s="4" t="s">
        <v>805</v>
      </c>
      <c r="B179" s="4"/>
      <c r="C179" s="4" t="s">
        <v>806</v>
      </c>
      <c r="D179" s="4" t="s">
        <v>807</v>
      </c>
      <c r="E179" s="4"/>
      <c r="F179" s="4" t="s">
        <v>808</v>
      </c>
      <c r="G179" s="4" t="s">
        <v>996</v>
      </c>
      <c r="H179" s="4" t="s">
        <v>810</v>
      </c>
      <c r="I179" s="4" t="s">
        <v>997</v>
      </c>
      <c r="J179" s="4" t="s">
        <v>998</v>
      </c>
      <c r="K179" s="3">
        <v>2</v>
      </c>
      <c r="L179" s="10">
        <v>150</v>
      </c>
      <c r="O179" s="7" t="s">
        <v>999</v>
      </c>
      <c r="P179" s="7" t="s">
        <v>1000</v>
      </c>
      <c r="Q179" s="3" t="s">
        <v>40</v>
      </c>
      <c r="R179" s="3"/>
      <c r="S179" s="9" t="str">
        <f t="shared" si="5"/>
        <v>[{MountingType,Through Hole}]</v>
      </c>
    </row>
    <row r="180" spans="1:19" ht="102">
      <c r="A180" s="4" t="s">
        <v>805</v>
      </c>
      <c r="B180" s="4"/>
      <c r="C180" s="4" t="s">
        <v>806</v>
      </c>
      <c r="D180" s="4" t="s">
        <v>854</v>
      </c>
      <c r="E180" s="4"/>
      <c r="F180" s="4" t="s">
        <v>855</v>
      </c>
      <c r="G180" s="4" t="s">
        <v>1001</v>
      </c>
      <c r="H180" s="4" t="s">
        <v>810</v>
      </c>
      <c r="I180" s="4" t="s">
        <v>1002</v>
      </c>
      <c r="J180" s="4" t="s">
        <v>1003</v>
      </c>
      <c r="K180" s="3">
        <v>1</v>
      </c>
      <c r="L180" s="10">
        <v>150</v>
      </c>
      <c r="O180" s="12" t="s">
        <v>1004</v>
      </c>
      <c r="P180" s="12" t="s">
        <v>1005</v>
      </c>
    </row>
    <row r="181" spans="1:19" ht="51">
      <c r="A181" s="4" t="s">
        <v>805</v>
      </c>
      <c r="B181" s="4"/>
      <c r="C181" s="4" t="s">
        <v>806</v>
      </c>
      <c r="D181" s="4" t="s">
        <v>832</v>
      </c>
      <c r="E181" s="4"/>
      <c r="F181" s="4" t="s">
        <v>833</v>
      </c>
      <c r="G181" s="4" t="s">
        <v>1006</v>
      </c>
      <c r="H181" s="4" t="s">
        <v>810</v>
      </c>
      <c r="I181" s="4" t="s">
        <v>1007</v>
      </c>
      <c r="J181" s="4" t="s">
        <v>1008</v>
      </c>
      <c r="K181" s="3">
        <v>1</v>
      </c>
      <c r="L181" s="10">
        <v>150</v>
      </c>
      <c r="O181" s="12" t="s">
        <v>1009</v>
      </c>
      <c r="P181" s="12" t="s">
        <v>1010</v>
      </c>
    </row>
    <row r="182" spans="1:19" ht="51">
      <c r="A182" s="4" t="s">
        <v>805</v>
      </c>
      <c r="B182" s="4"/>
      <c r="C182" s="4" t="s">
        <v>806</v>
      </c>
      <c r="D182" s="4" t="s">
        <v>886</v>
      </c>
      <c r="E182" s="4"/>
      <c r="F182" s="4" t="s">
        <v>887</v>
      </c>
      <c r="G182" s="4" t="s">
        <v>1011</v>
      </c>
      <c r="H182" s="4" t="s">
        <v>1012</v>
      </c>
      <c r="I182" s="4" t="s">
        <v>1013</v>
      </c>
      <c r="J182" s="4" t="s">
        <v>1014</v>
      </c>
      <c r="K182" s="3">
        <v>1</v>
      </c>
      <c r="L182" s="10">
        <v>150</v>
      </c>
      <c r="O182" s="12" t="s">
        <v>1015</v>
      </c>
      <c r="P182" s="12" t="s">
        <v>1016</v>
      </c>
    </row>
    <row r="183" spans="1:19" ht="76.5">
      <c r="A183" s="4" t="s">
        <v>413</v>
      </c>
      <c r="B183" s="17"/>
      <c r="C183" s="17" t="s">
        <v>414</v>
      </c>
      <c r="D183" s="4" t="s">
        <v>429</v>
      </c>
      <c r="E183" s="4"/>
      <c r="F183" s="17" t="s">
        <v>430</v>
      </c>
      <c r="G183" s="4" t="s">
        <v>1017</v>
      </c>
      <c r="H183" s="4" t="s">
        <v>416</v>
      </c>
      <c r="I183" s="4" t="s">
        <v>1018</v>
      </c>
      <c r="J183" s="4" t="s">
        <v>1019</v>
      </c>
      <c r="K183" s="3">
        <v>257</v>
      </c>
      <c r="L183" s="10">
        <v>112.02</v>
      </c>
      <c r="N183" s="3" t="s">
        <v>45</v>
      </c>
      <c r="O183" s="2" t="s">
        <v>1020</v>
      </c>
      <c r="P183" s="2" t="s">
        <v>1021</v>
      </c>
      <c r="Q183" s="3" t="s">
        <v>31</v>
      </c>
      <c r="R183" s="3" t="s">
        <v>1022</v>
      </c>
      <c r="S183" s="9" t="str">
        <f>CONCATENATE("[","{","MountingType",",",Q183,"}",",","{","PackageCase",",",R183,"}","]")</f>
        <v>[{MountingType,Surface Mount},{PackageCase,SOT23-3}]</v>
      </c>
    </row>
    <row r="184" spans="1:19" ht="76.5">
      <c r="A184" s="4" t="s">
        <v>413</v>
      </c>
      <c r="B184" s="17"/>
      <c r="C184" s="17" t="s">
        <v>414</v>
      </c>
      <c r="D184" s="4" t="s">
        <v>429</v>
      </c>
      <c r="E184" s="4"/>
      <c r="F184" s="17" t="s">
        <v>430</v>
      </c>
      <c r="G184" s="4" t="s">
        <v>1023</v>
      </c>
      <c r="H184" s="4" t="s">
        <v>648</v>
      </c>
      <c r="I184" s="4" t="s">
        <v>1018</v>
      </c>
      <c r="J184" s="4" t="s">
        <v>1024</v>
      </c>
      <c r="K184" s="3">
        <v>10</v>
      </c>
      <c r="L184" s="10">
        <v>126.02249999999999</v>
      </c>
      <c r="N184" s="3" t="s">
        <v>1025</v>
      </c>
      <c r="O184" s="1" t="s">
        <v>1026</v>
      </c>
      <c r="P184" s="2" t="s">
        <v>1027</v>
      </c>
      <c r="Q184" s="3" t="s">
        <v>31</v>
      </c>
      <c r="R184" s="3" t="s">
        <v>1028</v>
      </c>
      <c r="S184" s="9" t="str">
        <f t="shared" ref="S184:S232" si="6">CONCATENATE("[","{","MountingType",",",Q184,"}",",","{","PackageCase",",",R184,"}","]")</f>
        <v>[{MountingType,Surface Mount},{PackageCase,SOT23F}]</v>
      </c>
    </row>
    <row r="185" spans="1:19" ht="76.5">
      <c r="A185" s="4" t="s">
        <v>413</v>
      </c>
      <c r="B185" s="17"/>
      <c r="C185" s="17" t="s">
        <v>414</v>
      </c>
      <c r="D185" s="4" t="s">
        <v>429</v>
      </c>
      <c r="E185" s="4"/>
      <c r="F185" s="17" t="s">
        <v>430</v>
      </c>
      <c r="G185" s="4" t="s">
        <v>1029</v>
      </c>
      <c r="H185" s="4" t="s">
        <v>432</v>
      </c>
      <c r="I185" s="4" t="s">
        <v>433</v>
      </c>
      <c r="J185" s="4" t="s">
        <v>1030</v>
      </c>
      <c r="K185" s="3">
        <v>37</v>
      </c>
      <c r="L185" s="10">
        <v>47.608499999999999</v>
      </c>
      <c r="N185" s="3" t="s">
        <v>45</v>
      </c>
      <c r="O185" s="2" t="s">
        <v>1031</v>
      </c>
      <c r="P185" s="2" t="s">
        <v>1032</v>
      </c>
      <c r="Q185" s="3" t="s">
        <v>31</v>
      </c>
      <c r="R185" s="3" t="s">
        <v>441</v>
      </c>
      <c r="S185" s="9" t="str">
        <f t="shared" si="6"/>
        <v>[{MountingType,Surface Mount},{PackageCase,TO236AB}]</v>
      </c>
    </row>
    <row r="186" spans="1:19" ht="76.5">
      <c r="A186" s="4" t="s">
        <v>413</v>
      </c>
      <c r="B186" s="17"/>
      <c r="C186" s="17" t="s">
        <v>414</v>
      </c>
      <c r="D186" s="4" t="s">
        <v>429</v>
      </c>
      <c r="E186" s="4"/>
      <c r="F186" s="17" t="s">
        <v>430</v>
      </c>
      <c r="G186" s="4" t="s">
        <v>1033</v>
      </c>
      <c r="H186" s="4" t="s">
        <v>1034</v>
      </c>
      <c r="I186" s="4" t="s">
        <v>433</v>
      </c>
      <c r="J186" s="4" t="s">
        <v>1035</v>
      </c>
      <c r="K186" s="3">
        <v>40</v>
      </c>
      <c r="L186" s="10">
        <v>28.004999999999999</v>
      </c>
      <c r="N186" s="3" t="s">
        <v>45</v>
      </c>
      <c r="O186" s="2" t="s">
        <v>1036</v>
      </c>
      <c r="P186" s="2" t="s">
        <v>1037</v>
      </c>
      <c r="Q186" s="3" t="s">
        <v>31</v>
      </c>
      <c r="R186" s="3" t="s">
        <v>1038</v>
      </c>
      <c r="S186" s="9" t="str">
        <f t="shared" si="6"/>
        <v>[{MountingType,Surface Mount},{PackageCase,SOT-23}]</v>
      </c>
    </row>
    <row r="187" spans="1:19" ht="76.5">
      <c r="A187" s="4" t="s">
        <v>413</v>
      </c>
      <c r="B187" s="17"/>
      <c r="C187" s="17" t="s">
        <v>414</v>
      </c>
      <c r="D187" s="4" t="s">
        <v>429</v>
      </c>
      <c r="E187" s="4"/>
      <c r="F187" s="17" t="s">
        <v>430</v>
      </c>
      <c r="G187" s="4" t="s">
        <v>1039</v>
      </c>
      <c r="H187" s="4" t="s">
        <v>423</v>
      </c>
      <c r="I187" s="4" t="s">
        <v>1018</v>
      </c>
      <c r="J187" s="4" t="s">
        <v>1040</v>
      </c>
      <c r="K187" s="3">
        <v>38</v>
      </c>
      <c r="L187" s="10">
        <v>131.62350000000001</v>
      </c>
      <c r="N187" s="3" t="s">
        <v>45</v>
      </c>
      <c r="O187" s="2" t="s">
        <v>1041</v>
      </c>
      <c r="P187" s="2" t="s">
        <v>1042</v>
      </c>
      <c r="Q187" s="3" t="s">
        <v>31</v>
      </c>
      <c r="R187" s="3" t="s">
        <v>1043</v>
      </c>
      <c r="S187" s="9" t="str">
        <f t="shared" si="6"/>
        <v>[{MountingType,Surface Mount},{PackageCase,SOT23}]</v>
      </c>
    </row>
    <row r="188" spans="1:19" ht="76.5">
      <c r="A188" s="4" t="s">
        <v>413</v>
      </c>
      <c r="B188" s="17"/>
      <c r="C188" s="17" t="s">
        <v>414</v>
      </c>
      <c r="D188" s="4" t="s">
        <v>429</v>
      </c>
      <c r="E188" s="4"/>
      <c r="F188" s="17" t="s">
        <v>430</v>
      </c>
      <c r="G188" s="4" t="s">
        <v>1044</v>
      </c>
      <c r="H188" s="4" t="s">
        <v>416</v>
      </c>
      <c r="I188" s="4" t="s">
        <v>433</v>
      </c>
      <c r="J188" s="4" t="s">
        <v>1045</v>
      </c>
      <c r="K188" s="3">
        <v>1</v>
      </c>
      <c r="L188" s="10">
        <v>168.03</v>
      </c>
      <c r="N188" s="3" t="s">
        <v>45</v>
      </c>
      <c r="O188" s="2" t="s">
        <v>1046</v>
      </c>
      <c r="P188" s="2" t="s">
        <v>1047</v>
      </c>
      <c r="Q188" s="3" t="s">
        <v>31</v>
      </c>
      <c r="R188" s="3" t="s">
        <v>1048</v>
      </c>
      <c r="S188" s="9" t="str">
        <f t="shared" si="6"/>
        <v>[{MountingType,Surface Mount},{PackageCase,SOT-223-4}]</v>
      </c>
    </row>
    <row r="189" spans="1:19" ht="76.5">
      <c r="A189" s="4" t="s">
        <v>413</v>
      </c>
      <c r="B189" s="17"/>
      <c r="C189" s="17" t="s">
        <v>414</v>
      </c>
      <c r="D189" s="4" t="s">
        <v>429</v>
      </c>
      <c r="E189" s="4"/>
      <c r="F189" s="17" t="s">
        <v>430</v>
      </c>
      <c r="G189" s="4" t="s">
        <v>1049</v>
      </c>
      <c r="H189" s="4" t="s">
        <v>416</v>
      </c>
      <c r="I189" s="4" t="s">
        <v>433</v>
      </c>
      <c r="J189" s="4" t="s">
        <v>1050</v>
      </c>
      <c r="K189" s="3">
        <v>37</v>
      </c>
      <c r="L189" s="10">
        <v>92.416499999999999</v>
      </c>
      <c r="N189" s="3" t="s">
        <v>45</v>
      </c>
      <c r="O189" s="2" t="s">
        <v>1051</v>
      </c>
      <c r="P189" s="2" t="s">
        <v>1052</v>
      </c>
      <c r="Q189" s="3" t="s">
        <v>31</v>
      </c>
      <c r="R189" s="3" t="s">
        <v>1022</v>
      </c>
      <c r="S189" s="9" t="str">
        <f t="shared" si="6"/>
        <v>[{MountingType,Surface Mount},{PackageCase,SOT23-3}]</v>
      </c>
    </row>
    <row r="190" spans="1:19" ht="76.5">
      <c r="A190" s="4" t="s">
        <v>413</v>
      </c>
      <c r="B190" s="17"/>
      <c r="C190" s="17" t="s">
        <v>414</v>
      </c>
      <c r="D190" s="4" t="s">
        <v>429</v>
      </c>
      <c r="E190" s="4"/>
      <c r="F190" s="17" t="s">
        <v>430</v>
      </c>
      <c r="G190" s="4" t="s">
        <v>1053</v>
      </c>
      <c r="H190" s="4" t="s">
        <v>423</v>
      </c>
      <c r="I190" s="4" t="s">
        <v>433</v>
      </c>
      <c r="J190" s="4" t="s">
        <v>1054</v>
      </c>
      <c r="K190" s="3">
        <v>6</v>
      </c>
      <c r="L190" s="10">
        <v>42.0075</v>
      </c>
      <c r="N190" s="3" t="s">
        <v>1055</v>
      </c>
      <c r="O190" s="2" t="s">
        <v>1056</v>
      </c>
      <c r="P190" s="2" t="s">
        <v>1042</v>
      </c>
      <c r="Q190" s="3" t="s">
        <v>31</v>
      </c>
      <c r="R190" s="3" t="s">
        <v>1022</v>
      </c>
      <c r="S190" s="9" t="str">
        <f t="shared" si="6"/>
        <v>[{MountingType,Surface Mount},{PackageCase,SOT23-3}]</v>
      </c>
    </row>
    <row r="191" spans="1:19" ht="76.5">
      <c r="A191" s="4" t="s">
        <v>413</v>
      </c>
      <c r="B191" s="17"/>
      <c r="C191" s="17" t="s">
        <v>414</v>
      </c>
      <c r="D191" s="4" t="s">
        <v>429</v>
      </c>
      <c r="E191" s="4"/>
      <c r="F191" s="17" t="s">
        <v>430</v>
      </c>
      <c r="G191" s="4" t="s">
        <v>1057</v>
      </c>
      <c r="H191" s="4" t="s">
        <v>423</v>
      </c>
      <c r="I191" s="4" t="s">
        <v>433</v>
      </c>
      <c r="J191" s="4" t="s">
        <v>1058</v>
      </c>
      <c r="K191" s="3">
        <v>43</v>
      </c>
      <c r="L191" s="10">
        <v>39.207000000000001</v>
      </c>
      <c r="N191" s="3" t="s">
        <v>1055</v>
      </c>
      <c r="O191" s="2" t="s">
        <v>1059</v>
      </c>
      <c r="P191" s="2" t="s">
        <v>1042</v>
      </c>
      <c r="Q191" s="3" t="s">
        <v>31</v>
      </c>
      <c r="R191" s="3" t="s">
        <v>1022</v>
      </c>
      <c r="S191" s="9" t="str">
        <f t="shared" si="6"/>
        <v>[{MountingType,Surface Mount},{PackageCase,SOT23-3}]</v>
      </c>
    </row>
    <row r="192" spans="1:19" ht="76.5">
      <c r="A192" s="4" t="s">
        <v>413</v>
      </c>
      <c r="B192" s="17"/>
      <c r="C192" s="17" t="s">
        <v>414</v>
      </c>
      <c r="D192" s="4" t="s">
        <v>429</v>
      </c>
      <c r="E192" s="4"/>
      <c r="F192" s="17" t="s">
        <v>430</v>
      </c>
      <c r="G192" s="4" t="s">
        <v>1060</v>
      </c>
      <c r="H192" s="4" t="s">
        <v>1061</v>
      </c>
      <c r="I192" s="4" t="s">
        <v>1018</v>
      </c>
      <c r="J192" s="4" t="s">
        <v>1062</v>
      </c>
      <c r="K192" s="3">
        <v>4</v>
      </c>
      <c r="L192" s="10">
        <v>56.01</v>
      </c>
      <c r="N192" s="3" t="s">
        <v>45</v>
      </c>
      <c r="O192" s="2" t="s">
        <v>1063</v>
      </c>
      <c r="P192" s="2" t="s">
        <v>1064</v>
      </c>
      <c r="Q192" s="3" t="s">
        <v>31</v>
      </c>
      <c r="R192" s="3" t="s">
        <v>1022</v>
      </c>
      <c r="S192" s="9" t="str">
        <f t="shared" si="6"/>
        <v>[{MountingType,Surface Mount},{PackageCase,SOT23-3}]</v>
      </c>
    </row>
    <row r="193" spans="1:19" ht="76.5">
      <c r="A193" s="4" t="s">
        <v>413</v>
      </c>
      <c r="B193" s="17"/>
      <c r="C193" s="17" t="s">
        <v>414</v>
      </c>
      <c r="D193" s="4" t="s">
        <v>429</v>
      </c>
      <c r="E193" s="4"/>
      <c r="F193" s="17" t="s">
        <v>430</v>
      </c>
      <c r="G193" s="4" t="s">
        <v>1065</v>
      </c>
      <c r="H193" s="4" t="s">
        <v>432</v>
      </c>
      <c r="I193" s="4" t="s">
        <v>1018</v>
      </c>
      <c r="J193" s="4" t="s">
        <v>1066</v>
      </c>
      <c r="K193" s="3">
        <v>6</v>
      </c>
      <c r="L193" s="10">
        <v>123.22199999999999</v>
      </c>
      <c r="N193" s="3" t="s">
        <v>45</v>
      </c>
      <c r="O193" s="2" t="s">
        <v>1067</v>
      </c>
      <c r="P193" s="2" t="s">
        <v>1032</v>
      </c>
      <c r="Q193" s="3" t="s">
        <v>31</v>
      </c>
      <c r="R193" s="3" t="s">
        <v>437</v>
      </c>
      <c r="S193" s="9" t="str">
        <f t="shared" si="6"/>
        <v>[{MountingType,Surface Mount},{PackageCase,TO-236AB}]</v>
      </c>
    </row>
    <row r="194" spans="1:19" ht="76.5">
      <c r="A194" s="4" t="s">
        <v>413</v>
      </c>
      <c r="B194" s="17"/>
      <c r="C194" s="17" t="s">
        <v>414</v>
      </c>
      <c r="D194" s="4" t="s">
        <v>429</v>
      </c>
      <c r="E194" s="4"/>
      <c r="F194" s="17" t="s">
        <v>430</v>
      </c>
      <c r="G194" s="4" t="s">
        <v>1068</v>
      </c>
      <c r="H194" s="4" t="s">
        <v>423</v>
      </c>
      <c r="I194" s="4" t="s">
        <v>1018</v>
      </c>
      <c r="J194" s="4" t="s">
        <v>1069</v>
      </c>
      <c r="K194" s="3">
        <v>1</v>
      </c>
      <c r="L194" s="10">
        <v>179.232</v>
      </c>
      <c r="N194" s="3" t="s">
        <v>45</v>
      </c>
      <c r="O194" s="2" t="s">
        <v>1070</v>
      </c>
      <c r="P194" s="2" t="s">
        <v>1042</v>
      </c>
      <c r="Q194" s="3" t="s">
        <v>31</v>
      </c>
      <c r="R194" s="3" t="s">
        <v>1071</v>
      </c>
      <c r="S194" s="9" t="str">
        <f t="shared" si="6"/>
        <v>[{MountingType,Surface Mount},{PackageCase,SOT-23-3}]</v>
      </c>
    </row>
    <row r="195" spans="1:19" ht="76.5">
      <c r="A195" s="4" t="s">
        <v>413</v>
      </c>
      <c r="B195" s="17"/>
      <c r="C195" s="17" t="s">
        <v>414</v>
      </c>
      <c r="D195" s="4" t="s">
        <v>429</v>
      </c>
      <c r="E195" s="4"/>
      <c r="F195" s="17" t="s">
        <v>430</v>
      </c>
      <c r="G195" s="4" t="s">
        <v>1072</v>
      </c>
      <c r="H195" s="4" t="s">
        <v>432</v>
      </c>
      <c r="I195" s="4" t="s">
        <v>1018</v>
      </c>
      <c r="J195" s="4" t="s">
        <v>1073</v>
      </c>
      <c r="K195" s="3">
        <v>10</v>
      </c>
      <c r="L195" s="10">
        <v>120.42149999999999</v>
      </c>
      <c r="N195" s="3" t="s">
        <v>1055</v>
      </c>
      <c r="O195" s="2" t="s">
        <v>1074</v>
      </c>
      <c r="P195" s="2" t="s">
        <v>1075</v>
      </c>
      <c r="Q195" s="3" t="s">
        <v>31</v>
      </c>
      <c r="R195" s="3" t="s">
        <v>1076</v>
      </c>
      <c r="S195" s="9" t="str">
        <f t="shared" si="6"/>
        <v>[{MountingType,Surface Mount},{PackageCase,6-TSSOP}]</v>
      </c>
    </row>
    <row r="196" spans="1:19" ht="89.25">
      <c r="A196" s="3" t="s">
        <v>532</v>
      </c>
      <c r="B196" s="17"/>
      <c r="C196" s="17" t="s">
        <v>533</v>
      </c>
      <c r="D196" s="3" t="s">
        <v>573</v>
      </c>
      <c r="E196" s="3"/>
      <c r="F196" s="17" t="s">
        <v>574</v>
      </c>
      <c r="G196" s="3" t="s">
        <v>1077</v>
      </c>
      <c r="H196" s="3" t="s">
        <v>547</v>
      </c>
      <c r="I196" s="3" t="s">
        <v>714</v>
      </c>
      <c r="J196" s="3" t="s">
        <v>1078</v>
      </c>
      <c r="K196" s="3">
        <v>3</v>
      </c>
      <c r="L196" s="3">
        <v>890.55900000000008</v>
      </c>
      <c r="N196" s="3" t="s">
        <v>45</v>
      </c>
      <c r="O196" s="2" t="s">
        <v>1079</v>
      </c>
      <c r="P196" s="2" t="s">
        <v>1080</v>
      </c>
      <c r="Q196" s="3" t="s">
        <v>31</v>
      </c>
      <c r="R196" s="3" t="s">
        <v>1081</v>
      </c>
      <c r="S196" s="9" t="str">
        <f t="shared" si="6"/>
        <v>[{MountingType,Surface Mount},{PackageCase,8-SOIC}]</v>
      </c>
    </row>
    <row r="197" spans="1:19" ht="89.25">
      <c r="A197" s="3" t="s">
        <v>532</v>
      </c>
      <c r="B197" s="17"/>
      <c r="C197" s="17" t="s">
        <v>533</v>
      </c>
      <c r="D197" s="3" t="s">
        <v>573</v>
      </c>
      <c r="E197" s="3"/>
      <c r="F197" s="17" t="s">
        <v>574</v>
      </c>
      <c r="G197" s="3" t="s">
        <v>1082</v>
      </c>
      <c r="H197" s="3" t="s">
        <v>1083</v>
      </c>
      <c r="I197" s="3" t="s">
        <v>1084</v>
      </c>
      <c r="J197" s="3" t="s">
        <v>1085</v>
      </c>
      <c r="K197" s="3">
        <v>24</v>
      </c>
      <c r="L197" s="3">
        <v>0</v>
      </c>
      <c r="N197" s="3"/>
      <c r="O197" s="2" t="s">
        <v>1086</v>
      </c>
      <c r="P197" s="2" t="s">
        <v>1087</v>
      </c>
      <c r="Q197" s="3" t="s">
        <v>31</v>
      </c>
      <c r="R197" s="3" t="s">
        <v>1088</v>
      </c>
      <c r="S197" s="9" t="str">
        <f t="shared" si="6"/>
        <v>[{MountingType,Surface Mount},{PackageCase,SOIC-Narrow-16 }]</v>
      </c>
    </row>
    <row r="198" spans="1:19" ht="76.5">
      <c r="A198" s="3" t="s">
        <v>532</v>
      </c>
      <c r="B198" s="17"/>
      <c r="C198" s="17" t="s">
        <v>533</v>
      </c>
      <c r="D198" s="3" t="s">
        <v>554</v>
      </c>
      <c r="E198" s="3"/>
      <c r="F198" s="17" t="s">
        <v>555</v>
      </c>
      <c r="G198" s="3" t="s">
        <v>1089</v>
      </c>
      <c r="H198" s="3" t="s">
        <v>547</v>
      </c>
      <c r="I198" s="3" t="s">
        <v>750</v>
      </c>
      <c r="J198" s="3" t="s">
        <v>1090</v>
      </c>
      <c r="K198" s="3">
        <v>4</v>
      </c>
      <c r="L198" s="3">
        <v>806.54399999999998</v>
      </c>
      <c r="N198" s="3" t="s">
        <v>45</v>
      </c>
      <c r="O198" s="2" t="s">
        <v>1091</v>
      </c>
      <c r="P198" s="2" t="s">
        <v>1092</v>
      </c>
      <c r="Q198" s="3" t="s">
        <v>31</v>
      </c>
      <c r="R198" s="3" t="s">
        <v>1093</v>
      </c>
      <c r="S198" s="9" t="str">
        <f t="shared" si="6"/>
        <v>[{MountingType,Surface Mount},{PackageCase,10-VSON (3x3)}]</v>
      </c>
    </row>
    <row r="199" spans="1:19" ht="63.75">
      <c r="A199" s="3" t="s">
        <v>532</v>
      </c>
      <c r="B199" s="17"/>
      <c r="C199" s="17" t="s">
        <v>533</v>
      </c>
      <c r="D199" s="3" t="s">
        <v>1094</v>
      </c>
      <c r="E199" s="3"/>
      <c r="F199" s="17" t="s">
        <v>1095</v>
      </c>
      <c r="G199" s="3" t="s">
        <v>1096</v>
      </c>
      <c r="H199" s="4" t="s">
        <v>1097</v>
      </c>
      <c r="I199" s="3" t="s">
        <v>714</v>
      </c>
      <c r="J199" s="3" t="s">
        <v>1098</v>
      </c>
      <c r="K199" s="3">
        <v>3</v>
      </c>
      <c r="L199" s="3">
        <v>896.16000000000008</v>
      </c>
      <c r="N199" s="3" t="s">
        <v>1099</v>
      </c>
      <c r="O199" s="2" t="s">
        <v>1100</v>
      </c>
      <c r="P199" s="2" t="s">
        <v>1101</v>
      </c>
      <c r="Q199" s="3" t="s">
        <v>31</v>
      </c>
      <c r="R199" s="3" t="s">
        <v>1102</v>
      </c>
      <c r="S199" s="9" t="str">
        <f t="shared" si="6"/>
        <v>[{MountingType,Surface Mount},{PackageCase,18-SMD Module}]</v>
      </c>
    </row>
    <row r="200" spans="1:19" ht="63.75">
      <c r="A200" s="3" t="s">
        <v>532</v>
      </c>
      <c r="B200" s="17"/>
      <c r="C200" s="17" t="s">
        <v>533</v>
      </c>
      <c r="D200" s="3" t="s">
        <v>1094</v>
      </c>
      <c r="E200" s="3"/>
      <c r="F200" s="17" t="s">
        <v>1095</v>
      </c>
      <c r="G200" s="3" t="s">
        <v>1103</v>
      </c>
      <c r="H200" s="3" t="s">
        <v>1104</v>
      </c>
      <c r="I200" s="3" t="s">
        <v>1105</v>
      </c>
      <c r="J200" s="3" t="s">
        <v>1106</v>
      </c>
      <c r="K200" s="3">
        <v>3</v>
      </c>
      <c r="L200" s="3">
        <v>280.05</v>
      </c>
      <c r="N200" s="3"/>
      <c r="O200" s="2" t="s">
        <v>1107</v>
      </c>
      <c r="P200" s="2" t="s">
        <v>1108</v>
      </c>
      <c r="Q200" s="3" t="s">
        <v>31</v>
      </c>
      <c r="R200" s="3" t="s">
        <v>1109</v>
      </c>
      <c r="S200" s="9" t="str">
        <f t="shared" si="6"/>
        <v>[{MountingType,Surface Mount},{PackageCase,SOP-8}]</v>
      </c>
    </row>
    <row r="201" spans="1:19" ht="76.5">
      <c r="A201" s="3" t="s">
        <v>532</v>
      </c>
      <c r="B201" s="17"/>
      <c r="C201" s="17" t="s">
        <v>533</v>
      </c>
      <c r="D201" s="3" t="s">
        <v>554</v>
      </c>
      <c r="E201" s="3"/>
      <c r="F201" s="17" t="s">
        <v>555</v>
      </c>
      <c r="G201" s="3" t="s">
        <v>1110</v>
      </c>
      <c r="H201" s="3" t="s">
        <v>547</v>
      </c>
      <c r="I201" s="3" t="s">
        <v>750</v>
      </c>
      <c r="J201" s="3" t="s">
        <v>1111</v>
      </c>
      <c r="K201" s="3">
        <v>22</v>
      </c>
      <c r="L201" s="3">
        <v>266.04750000000001</v>
      </c>
      <c r="N201" s="3" t="s">
        <v>1112</v>
      </c>
      <c r="O201" s="2" t="s">
        <v>1113</v>
      </c>
      <c r="P201" s="2" t="s">
        <v>1114</v>
      </c>
      <c r="Q201" s="3" t="s">
        <v>31</v>
      </c>
      <c r="R201" s="3" t="s">
        <v>1115</v>
      </c>
      <c r="S201" s="9" t="str">
        <f t="shared" si="6"/>
        <v>[{MountingType,Surface Mount},{PackageCase,SOT-23-THIN}]</v>
      </c>
    </row>
    <row r="202" spans="1:19" ht="89.25">
      <c r="A202" s="3" t="s">
        <v>532</v>
      </c>
      <c r="B202" s="17"/>
      <c r="C202" s="17" t="s">
        <v>533</v>
      </c>
      <c r="D202" s="3" t="s">
        <v>591</v>
      </c>
      <c r="E202" s="3"/>
      <c r="F202" s="17" t="s">
        <v>592</v>
      </c>
      <c r="G202" s="3" t="s">
        <v>1116</v>
      </c>
      <c r="H202" s="3" t="s">
        <v>594</v>
      </c>
      <c r="I202" s="3" t="s">
        <v>595</v>
      </c>
      <c r="J202" s="3" t="s">
        <v>1117</v>
      </c>
      <c r="K202" s="3">
        <v>3</v>
      </c>
      <c r="L202" s="3">
        <v>319.25700000000001</v>
      </c>
      <c r="N202" s="3" t="s">
        <v>1118</v>
      </c>
      <c r="O202" s="2" t="s">
        <v>1119</v>
      </c>
      <c r="P202" s="2" t="s">
        <v>1120</v>
      </c>
      <c r="Q202" s="3" t="s">
        <v>31</v>
      </c>
      <c r="R202" s="3" t="s">
        <v>1121</v>
      </c>
      <c r="S202" s="9" t="str">
        <f t="shared" si="6"/>
        <v>[{MountingType,Surface Mount},{PackageCase,20-VQFN (3x3)}]</v>
      </c>
    </row>
    <row r="203" spans="1:19" ht="76.5">
      <c r="A203" s="3" t="s">
        <v>532</v>
      </c>
      <c r="B203" s="17"/>
      <c r="C203" s="17" t="s">
        <v>533</v>
      </c>
      <c r="D203" s="3" t="s">
        <v>554</v>
      </c>
      <c r="E203" s="3"/>
      <c r="F203" s="17" t="s">
        <v>555</v>
      </c>
      <c r="G203" s="3" t="s">
        <v>1122</v>
      </c>
      <c r="H203" s="3" t="s">
        <v>594</v>
      </c>
      <c r="I203" s="3" t="s">
        <v>1123</v>
      </c>
      <c r="J203" s="3" t="s">
        <v>1124</v>
      </c>
      <c r="K203" s="3">
        <v>6</v>
      </c>
      <c r="L203" s="3">
        <v>226.84050000000002</v>
      </c>
      <c r="N203" s="3" t="s">
        <v>45</v>
      </c>
      <c r="O203" s="2" t="s">
        <v>1125</v>
      </c>
      <c r="P203" s="2" t="s">
        <v>1126</v>
      </c>
      <c r="Q203" s="3" t="s">
        <v>31</v>
      </c>
      <c r="R203" s="3" t="s">
        <v>1127</v>
      </c>
      <c r="S203" s="9" t="str">
        <f t="shared" si="6"/>
        <v>[{MountingType,Surface Mount},{PackageCase,SOT-23-5}]</v>
      </c>
    </row>
    <row r="204" spans="1:19" ht="51">
      <c r="A204" s="3" t="s">
        <v>532</v>
      </c>
      <c r="B204" s="17"/>
      <c r="C204" s="17" t="s">
        <v>533</v>
      </c>
      <c r="D204" s="3" t="s">
        <v>544</v>
      </c>
      <c r="E204" s="3"/>
      <c r="F204" s="17" t="s">
        <v>545</v>
      </c>
      <c r="G204" s="3" t="s">
        <v>1128</v>
      </c>
      <c r="H204" s="3" t="s">
        <v>547</v>
      </c>
      <c r="I204" s="3" t="s">
        <v>1129</v>
      </c>
      <c r="J204" s="3" t="s">
        <v>1130</v>
      </c>
      <c r="K204" s="3">
        <v>6</v>
      </c>
      <c r="L204" s="3">
        <v>484.48650000000004</v>
      </c>
      <c r="N204" s="3" t="s">
        <v>45</v>
      </c>
      <c r="O204" s="2" t="s">
        <v>1131</v>
      </c>
      <c r="P204" s="2" t="s">
        <v>1132</v>
      </c>
      <c r="Q204" s="3" t="s">
        <v>31</v>
      </c>
      <c r="R204" s="3" t="s">
        <v>1133</v>
      </c>
      <c r="S204" s="9" t="str">
        <f t="shared" si="6"/>
        <v>[{MountingType,Surface Mount},{PackageCase,16-TSSOP}]</v>
      </c>
    </row>
    <row r="205" spans="1:19" ht="63.75">
      <c r="A205" s="3" t="s">
        <v>532</v>
      </c>
      <c r="B205" s="17"/>
      <c r="C205" s="17" t="s">
        <v>533</v>
      </c>
      <c r="D205" s="4" t="s">
        <v>1094</v>
      </c>
      <c r="E205" s="4"/>
      <c r="F205" s="17" t="s">
        <v>1095</v>
      </c>
      <c r="G205" s="3" t="s">
        <v>1134</v>
      </c>
      <c r="H205" s="3" t="s">
        <v>1104</v>
      </c>
      <c r="I205" s="3" t="s">
        <v>1105</v>
      </c>
      <c r="J205" s="3" t="s">
        <v>1135</v>
      </c>
      <c r="K205" s="3">
        <v>3</v>
      </c>
      <c r="L205" s="3">
        <v>280.05</v>
      </c>
      <c r="N205" s="3"/>
      <c r="O205" s="2" t="s">
        <v>1136</v>
      </c>
      <c r="P205" s="2" t="s">
        <v>1137</v>
      </c>
      <c r="Q205" s="3" t="s">
        <v>31</v>
      </c>
      <c r="R205" s="3" t="s">
        <v>1109</v>
      </c>
      <c r="S205" s="9" t="str">
        <f t="shared" si="6"/>
        <v>[{MountingType,Surface Mount},{PackageCase,SOP-8}]</v>
      </c>
    </row>
    <row r="206" spans="1:19" ht="51">
      <c r="A206" s="3" t="s">
        <v>532</v>
      </c>
      <c r="B206" s="17"/>
      <c r="C206" s="17" t="s">
        <v>533</v>
      </c>
      <c r="D206" s="4" t="s">
        <v>534</v>
      </c>
      <c r="E206" s="4"/>
      <c r="F206" s="17" t="s">
        <v>535</v>
      </c>
      <c r="G206" s="3" t="s">
        <v>1138</v>
      </c>
      <c r="H206" s="3" t="s">
        <v>547</v>
      </c>
      <c r="I206" s="3" t="s">
        <v>538</v>
      </c>
      <c r="J206" s="3" t="s">
        <v>1139</v>
      </c>
      <c r="K206" s="3">
        <v>2</v>
      </c>
      <c r="L206" s="3">
        <v>0</v>
      </c>
      <c r="N206" s="3" t="s">
        <v>1140</v>
      </c>
      <c r="O206" s="2" t="s">
        <v>1141</v>
      </c>
      <c r="P206" s="2" t="s">
        <v>1142</v>
      </c>
      <c r="Q206" s="3" t="s">
        <v>31</v>
      </c>
      <c r="R206" s="3" t="s">
        <v>1143</v>
      </c>
      <c r="S206" s="9" t="str">
        <f t="shared" si="6"/>
        <v>[{MountingType,Surface Mount},{PackageCase,8-VSSOP}]</v>
      </c>
    </row>
    <row r="207" spans="1:19" ht="76.5">
      <c r="A207" s="3" t="s">
        <v>532</v>
      </c>
      <c r="B207" s="17"/>
      <c r="C207" s="17" t="s">
        <v>533</v>
      </c>
      <c r="D207" s="3" t="s">
        <v>554</v>
      </c>
      <c r="E207" s="3"/>
      <c r="F207" s="17" t="s">
        <v>555</v>
      </c>
      <c r="G207" s="3" t="s">
        <v>1144</v>
      </c>
      <c r="H207" s="3" t="s">
        <v>423</v>
      </c>
      <c r="I207" s="3" t="s">
        <v>750</v>
      </c>
      <c r="J207" s="3" t="s">
        <v>1145</v>
      </c>
      <c r="K207" s="3">
        <v>5</v>
      </c>
      <c r="L207" s="3">
        <v>103.6185</v>
      </c>
      <c r="N207" s="3" t="s">
        <v>45</v>
      </c>
      <c r="O207" s="2" t="s">
        <v>1146</v>
      </c>
      <c r="P207" s="2" t="s">
        <v>1147</v>
      </c>
      <c r="Q207" s="3" t="s">
        <v>31</v>
      </c>
      <c r="R207" s="3" t="s">
        <v>1148</v>
      </c>
      <c r="S207" s="9" t="str">
        <f t="shared" si="6"/>
        <v>[{MountingType,Surface Mount},{PackageCase,SOT-25}]</v>
      </c>
    </row>
    <row r="208" spans="1:19" ht="76.5">
      <c r="A208" s="3" t="s">
        <v>532</v>
      </c>
      <c r="B208" s="17"/>
      <c r="C208" s="17" t="s">
        <v>533</v>
      </c>
      <c r="D208" s="3" t="s">
        <v>554</v>
      </c>
      <c r="E208" s="3"/>
      <c r="F208" s="17" t="s">
        <v>555</v>
      </c>
      <c r="G208" s="3" t="s">
        <v>1149</v>
      </c>
      <c r="H208" s="3" t="s">
        <v>547</v>
      </c>
      <c r="I208" s="3" t="s">
        <v>557</v>
      </c>
      <c r="J208" s="3" t="s">
        <v>1150</v>
      </c>
      <c r="K208" s="3">
        <v>12</v>
      </c>
      <c r="L208" s="3">
        <v>260.44650000000001</v>
      </c>
      <c r="N208" s="3" t="s">
        <v>45</v>
      </c>
      <c r="O208" s="2" t="s">
        <v>1151</v>
      </c>
      <c r="P208" s="2" t="s">
        <v>1080</v>
      </c>
      <c r="Q208" s="3" t="s">
        <v>31</v>
      </c>
      <c r="R208" s="3" t="s">
        <v>1081</v>
      </c>
      <c r="S208" s="9" t="str">
        <f t="shared" si="6"/>
        <v>[{MountingType,Surface Mount},{PackageCase,8-SOIC}]</v>
      </c>
    </row>
    <row r="209" spans="1:19" ht="76.5">
      <c r="A209" s="3" t="s">
        <v>532</v>
      </c>
      <c r="B209" s="17"/>
      <c r="C209" s="17" t="s">
        <v>533</v>
      </c>
      <c r="D209" s="3" t="s">
        <v>554</v>
      </c>
      <c r="E209" s="3"/>
      <c r="F209" s="17" t="s">
        <v>555</v>
      </c>
      <c r="G209" s="3" t="s">
        <v>1152</v>
      </c>
      <c r="H209" s="3" t="s">
        <v>1153</v>
      </c>
      <c r="I209" s="3" t="s">
        <v>750</v>
      </c>
      <c r="J209" s="3" t="s">
        <v>1154</v>
      </c>
      <c r="K209" s="3">
        <v>9</v>
      </c>
      <c r="L209" s="3">
        <v>0</v>
      </c>
      <c r="N209" s="3"/>
      <c r="O209" s="2" t="s">
        <v>1155</v>
      </c>
      <c r="P209" s="2" t="s">
        <v>1156</v>
      </c>
      <c r="Q209" s="3" t="s">
        <v>31</v>
      </c>
      <c r="R209" s="3" t="s">
        <v>1157</v>
      </c>
      <c r="S209" s="9" t="str">
        <f t="shared" si="6"/>
        <v>[{MountingType,Surface Mount},{PackageCase,SOT-223}]</v>
      </c>
    </row>
    <row r="210" spans="1:19" ht="76.5">
      <c r="A210" s="3" t="s">
        <v>532</v>
      </c>
      <c r="B210" s="17"/>
      <c r="C210" s="17" t="s">
        <v>533</v>
      </c>
      <c r="D210" s="3" t="s">
        <v>624</v>
      </c>
      <c r="E210" s="3"/>
      <c r="F210" s="17" t="s">
        <v>625</v>
      </c>
      <c r="G210" s="3" t="s">
        <v>1158</v>
      </c>
      <c r="H210" s="3" t="s">
        <v>1159</v>
      </c>
      <c r="I210" s="3" t="s">
        <v>628</v>
      </c>
      <c r="J210" s="3" t="s">
        <v>1160</v>
      </c>
      <c r="K210" s="3">
        <v>5</v>
      </c>
      <c r="L210" s="3">
        <v>336.06</v>
      </c>
      <c r="N210" s="3" t="s">
        <v>45</v>
      </c>
      <c r="O210" s="2" t="s">
        <v>1161</v>
      </c>
      <c r="P210" s="2" t="s">
        <v>1162</v>
      </c>
      <c r="Q210" s="3" t="s">
        <v>31</v>
      </c>
      <c r="R210" s="3" t="s">
        <v>1163</v>
      </c>
      <c r="S210" s="9" t="str">
        <f t="shared" si="6"/>
        <v>[{MountingType,Surface Mount},{PackageCase,8-SO}]</v>
      </c>
    </row>
    <row r="211" spans="1:19" ht="89.25">
      <c r="A211" s="3" t="s">
        <v>532</v>
      </c>
      <c r="B211" s="17"/>
      <c r="C211" s="17" t="s">
        <v>533</v>
      </c>
      <c r="D211" s="3" t="s">
        <v>591</v>
      </c>
      <c r="E211" s="3"/>
      <c r="F211" s="17" t="s">
        <v>592</v>
      </c>
      <c r="G211" s="3" t="s">
        <v>1164</v>
      </c>
      <c r="H211" s="3" t="s">
        <v>537</v>
      </c>
      <c r="I211" s="3" t="s">
        <v>595</v>
      </c>
      <c r="J211" s="3" t="s">
        <v>1165</v>
      </c>
      <c r="K211" s="3">
        <v>6</v>
      </c>
      <c r="L211" s="3">
        <v>1641.0930000000001</v>
      </c>
      <c r="N211" s="4" t="s">
        <v>1166</v>
      </c>
      <c r="O211" s="2" t="s">
        <v>1167</v>
      </c>
      <c r="P211" s="2" t="s">
        <v>1168</v>
      </c>
      <c r="Q211" s="3" t="s">
        <v>31</v>
      </c>
      <c r="R211" s="3" t="s">
        <v>1169</v>
      </c>
      <c r="S211" s="9" t="str">
        <f t="shared" si="6"/>
        <v>[{MountingType,Surface Mount},{PackageCase,48-LQFP (7x7)}]</v>
      </c>
    </row>
    <row r="212" spans="1:19" ht="76.5">
      <c r="A212" s="3" t="s">
        <v>532</v>
      </c>
      <c r="B212" s="17"/>
      <c r="C212" s="17" t="s">
        <v>533</v>
      </c>
      <c r="D212" s="3" t="s">
        <v>554</v>
      </c>
      <c r="E212" s="3"/>
      <c r="F212" s="17" t="s">
        <v>555</v>
      </c>
      <c r="G212" s="3" t="s">
        <v>1170</v>
      </c>
      <c r="H212" s="3" t="s">
        <v>547</v>
      </c>
      <c r="I212" s="3" t="s">
        <v>1123</v>
      </c>
      <c r="J212" s="3" t="s">
        <v>1171</v>
      </c>
      <c r="K212" s="3">
        <v>5</v>
      </c>
      <c r="L212" s="3">
        <v>450.88050000000004</v>
      </c>
      <c r="N212" s="3" t="s">
        <v>45</v>
      </c>
      <c r="O212" s="2" t="s">
        <v>1172</v>
      </c>
      <c r="P212" s="2" t="s">
        <v>1173</v>
      </c>
      <c r="Q212" s="3" t="s">
        <v>31</v>
      </c>
      <c r="R212" s="3" t="s">
        <v>1174</v>
      </c>
      <c r="S212" s="9" t="str">
        <f t="shared" si="6"/>
        <v>[{MountingType,Surface Mount},{PackageCase,SOT-23-6}]</v>
      </c>
    </row>
    <row r="213" spans="1:19" ht="76.5">
      <c r="A213" s="3" t="s">
        <v>532</v>
      </c>
      <c r="B213" s="17"/>
      <c r="C213" s="17" t="s">
        <v>533</v>
      </c>
      <c r="D213" s="3" t="s">
        <v>554</v>
      </c>
      <c r="E213" s="3"/>
      <c r="F213" s="17" t="s">
        <v>555</v>
      </c>
      <c r="G213" s="3" t="s">
        <v>1175</v>
      </c>
      <c r="H213" s="3" t="s">
        <v>423</v>
      </c>
      <c r="I213" s="3" t="s">
        <v>557</v>
      </c>
      <c r="J213" s="3" t="s">
        <v>1176</v>
      </c>
      <c r="K213" s="3">
        <v>1</v>
      </c>
      <c r="L213" s="3">
        <v>151.227</v>
      </c>
      <c r="N213" s="3" t="s">
        <v>45</v>
      </c>
      <c r="O213" s="2" t="s">
        <v>1177</v>
      </c>
      <c r="P213" s="2" t="s">
        <v>1042</v>
      </c>
      <c r="Q213" s="3" t="s">
        <v>31</v>
      </c>
      <c r="R213" s="3" t="s">
        <v>1071</v>
      </c>
      <c r="S213" s="9" t="str">
        <f t="shared" si="6"/>
        <v>[{MountingType,Surface Mount},{PackageCase,SOT-23-3}]</v>
      </c>
    </row>
    <row r="214" spans="1:19" ht="76.5">
      <c r="A214" s="3" t="s">
        <v>532</v>
      </c>
      <c r="B214" s="17"/>
      <c r="C214" s="17" t="s">
        <v>533</v>
      </c>
      <c r="D214" s="3" t="s">
        <v>554</v>
      </c>
      <c r="E214" s="3"/>
      <c r="F214" s="17" t="s">
        <v>555</v>
      </c>
      <c r="G214" s="3" t="s">
        <v>1178</v>
      </c>
      <c r="H214" s="3" t="s">
        <v>547</v>
      </c>
      <c r="I214" s="3" t="s">
        <v>750</v>
      </c>
      <c r="J214" s="3" t="s">
        <v>1179</v>
      </c>
      <c r="K214" s="3">
        <v>5</v>
      </c>
      <c r="L214" s="3">
        <v>792.54150000000004</v>
      </c>
      <c r="N214" s="3" t="s">
        <v>45</v>
      </c>
      <c r="O214" s="1" t="s">
        <v>1180</v>
      </c>
      <c r="P214" s="2" t="s">
        <v>1181</v>
      </c>
      <c r="Q214" s="3" t="s">
        <v>31</v>
      </c>
      <c r="R214" s="3" t="s">
        <v>1182</v>
      </c>
      <c r="S214" s="9" t="str">
        <f t="shared" si="6"/>
        <v>[{MountingType,Surface Mount},{PackageCase,15-VQFN-HR (3x2.5)}]</v>
      </c>
    </row>
    <row r="215" spans="1:19" ht="38.25">
      <c r="A215" s="3" t="s">
        <v>532</v>
      </c>
      <c r="B215" s="17"/>
      <c r="C215" s="17" t="s">
        <v>533</v>
      </c>
      <c r="D215" s="3" t="s">
        <v>770</v>
      </c>
      <c r="E215" s="3"/>
      <c r="F215" s="3" t="s">
        <v>771</v>
      </c>
      <c r="G215" s="3" t="s">
        <v>1183</v>
      </c>
      <c r="H215" s="3" t="s">
        <v>1184</v>
      </c>
      <c r="I215" s="3" t="s">
        <v>1185</v>
      </c>
      <c r="J215" s="4" t="s">
        <v>1186</v>
      </c>
      <c r="K215" s="3">
        <v>1</v>
      </c>
      <c r="L215" s="3">
        <v>112.02000000000001</v>
      </c>
      <c r="N215" s="3" t="s">
        <v>45</v>
      </c>
      <c r="O215" s="2" t="s">
        <v>1187</v>
      </c>
      <c r="P215" s="2" t="s">
        <v>1188</v>
      </c>
      <c r="Q215" s="3" t="s">
        <v>31</v>
      </c>
      <c r="R215" s="3" t="s">
        <v>1174</v>
      </c>
      <c r="S215" s="9" t="str">
        <f t="shared" si="6"/>
        <v>[{MountingType,Surface Mount},{PackageCase,SOT-23-6}]</v>
      </c>
    </row>
    <row r="216" spans="1:19">
      <c r="A216" s="3" t="s">
        <v>474</v>
      </c>
      <c r="B216" s="3"/>
      <c r="C216" s="3" t="s">
        <v>475</v>
      </c>
      <c r="D216" s="3" t="s">
        <v>476</v>
      </c>
      <c r="E216" s="3"/>
      <c r="F216" s="3" t="s">
        <v>330</v>
      </c>
      <c r="G216" s="3" t="s">
        <v>1189</v>
      </c>
      <c r="H216" s="3" t="s">
        <v>1190</v>
      </c>
      <c r="I216" s="3" t="s">
        <v>478</v>
      </c>
      <c r="J216" s="3" t="s">
        <v>1191</v>
      </c>
      <c r="K216" s="3">
        <v>17</v>
      </c>
      <c r="L216" s="3">
        <v>112.02000000000001</v>
      </c>
      <c r="N216" s="3" t="s">
        <v>45</v>
      </c>
      <c r="O216" s="2" t="s">
        <v>1192</v>
      </c>
      <c r="P216" s="2" t="s">
        <v>1193</v>
      </c>
      <c r="Q216" s="3" t="s">
        <v>31</v>
      </c>
      <c r="R216" s="3" t="s">
        <v>1194</v>
      </c>
      <c r="S216" s="9" t="str">
        <f t="shared" si="6"/>
        <v>[{MountingType,Surface Mount},{PackageCase,uDFN-6}]</v>
      </c>
    </row>
    <row r="217" spans="1:19" ht="51">
      <c r="A217" s="3" t="s">
        <v>532</v>
      </c>
      <c r="B217" s="17"/>
      <c r="C217" s="17" t="s">
        <v>533</v>
      </c>
      <c r="D217" s="3" t="s">
        <v>534</v>
      </c>
      <c r="E217" s="3"/>
      <c r="F217" s="17" t="s">
        <v>535</v>
      </c>
      <c r="G217" s="3" t="s">
        <v>1195</v>
      </c>
      <c r="H217" s="3" t="s">
        <v>547</v>
      </c>
      <c r="I217" s="3" t="s">
        <v>538</v>
      </c>
      <c r="J217" s="3" t="s">
        <v>1196</v>
      </c>
      <c r="K217" s="3">
        <v>7</v>
      </c>
      <c r="L217" s="3">
        <v>184.83300000000003</v>
      </c>
      <c r="N217" s="3" t="s">
        <v>45</v>
      </c>
      <c r="O217" s="2" t="s">
        <v>1197</v>
      </c>
      <c r="P217" s="2" t="s">
        <v>1198</v>
      </c>
      <c r="Q217" s="3" t="s">
        <v>31</v>
      </c>
      <c r="R217" s="3" t="s">
        <v>1127</v>
      </c>
      <c r="S217" s="9" t="str">
        <f t="shared" si="6"/>
        <v>[{MountingType,Surface Mount},{PackageCase,SOT-23-5}]</v>
      </c>
    </row>
    <row r="218" spans="1:19" ht="76.5">
      <c r="A218" s="3" t="s">
        <v>413</v>
      </c>
      <c r="B218" s="17"/>
      <c r="C218" s="17" t="s">
        <v>414</v>
      </c>
      <c r="D218" s="3" t="s">
        <v>429</v>
      </c>
      <c r="E218" s="3"/>
      <c r="F218" s="17" t="s">
        <v>430</v>
      </c>
      <c r="G218" s="3" t="s">
        <v>1199</v>
      </c>
      <c r="H218" s="3" t="s">
        <v>423</v>
      </c>
      <c r="I218" s="3" t="s">
        <v>433</v>
      </c>
      <c r="J218" s="3" t="s">
        <v>1200</v>
      </c>
      <c r="K218" s="3">
        <v>5</v>
      </c>
      <c r="L218" s="3">
        <v>271.64850000000001</v>
      </c>
      <c r="N218" s="3" t="s">
        <v>45</v>
      </c>
      <c r="O218" s="2" t="s">
        <v>1201</v>
      </c>
      <c r="P218" s="2" t="s">
        <v>1202</v>
      </c>
      <c r="Q218" s="3" t="s">
        <v>31</v>
      </c>
      <c r="R218" s="3" t="s">
        <v>1203</v>
      </c>
      <c r="S218" s="9" t="str">
        <f t="shared" si="6"/>
        <v>[{MountingType,Surface Mount},{PackageCase,SOT-223-3}]</v>
      </c>
    </row>
    <row r="219" spans="1:19" ht="76.5">
      <c r="A219" s="3" t="s">
        <v>532</v>
      </c>
      <c r="B219" s="17"/>
      <c r="C219" s="17" t="s">
        <v>533</v>
      </c>
      <c r="D219" s="3" t="s">
        <v>554</v>
      </c>
      <c r="E219" s="3"/>
      <c r="F219" s="17" t="s">
        <v>555</v>
      </c>
      <c r="G219" s="3" t="s">
        <v>1204</v>
      </c>
      <c r="H219" s="3" t="s">
        <v>537</v>
      </c>
      <c r="I219" s="3" t="s">
        <v>750</v>
      </c>
      <c r="J219" s="3" t="s">
        <v>1205</v>
      </c>
      <c r="K219" s="3">
        <v>2</v>
      </c>
      <c r="L219" s="3">
        <v>324.858</v>
      </c>
      <c r="N219" s="3" t="s">
        <v>45</v>
      </c>
      <c r="O219" s="1" t="s">
        <v>1206</v>
      </c>
      <c r="P219" s="2" t="s">
        <v>1207</v>
      </c>
      <c r="Q219" s="3" t="s">
        <v>31</v>
      </c>
      <c r="R219" s="3" t="s">
        <v>1157</v>
      </c>
      <c r="S219" s="9" t="str">
        <f t="shared" si="6"/>
        <v>[{MountingType,Surface Mount},{PackageCase,SOT-223}]</v>
      </c>
    </row>
    <row r="220" spans="1:19" ht="51">
      <c r="A220" s="3" t="s">
        <v>532</v>
      </c>
      <c r="B220" s="17"/>
      <c r="C220" s="17" t="s">
        <v>533</v>
      </c>
      <c r="D220" s="3" t="s">
        <v>534</v>
      </c>
      <c r="E220" s="3"/>
      <c r="F220" s="17" t="s">
        <v>535</v>
      </c>
      <c r="G220" s="3" t="s">
        <v>1208</v>
      </c>
      <c r="H220" s="3" t="s">
        <v>537</v>
      </c>
      <c r="I220" s="3" t="s">
        <v>1209</v>
      </c>
      <c r="J220" s="3" t="s">
        <v>1210</v>
      </c>
      <c r="K220" s="3">
        <v>6</v>
      </c>
      <c r="L220" s="3">
        <v>117.621</v>
      </c>
      <c r="N220" s="3" t="s">
        <v>45</v>
      </c>
      <c r="O220" s="2" t="s">
        <v>1211</v>
      </c>
      <c r="P220" s="2" t="s">
        <v>1212</v>
      </c>
      <c r="Q220" s="3" t="s">
        <v>31</v>
      </c>
      <c r="R220" s="3" t="s">
        <v>1213</v>
      </c>
      <c r="S220" s="9" t="str">
        <f t="shared" si="6"/>
        <v>[{MountingType,Surface Mount},{PackageCase,8-SOP}]</v>
      </c>
    </row>
    <row r="221" spans="1:19" ht="76.5">
      <c r="A221" s="3" t="s">
        <v>532</v>
      </c>
      <c r="B221" s="17"/>
      <c r="C221" s="17" t="s">
        <v>533</v>
      </c>
      <c r="D221" s="3" t="s">
        <v>554</v>
      </c>
      <c r="E221" s="3"/>
      <c r="F221" s="17" t="s">
        <v>555</v>
      </c>
      <c r="G221" s="3" t="s">
        <v>1214</v>
      </c>
      <c r="H221" s="3" t="s">
        <v>416</v>
      </c>
      <c r="I221" s="3" t="s">
        <v>750</v>
      </c>
      <c r="J221" s="3" t="s">
        <v>1215</v>
      </c>
      <c r="K221" s="3">
        <v>3</v>
      </c>
      <c r="L221" s="3">
        <v>420.07500000000005</v>
      </c>
      <c r="N221" s="3" t="s">
        <v>45</v>
      </c>
      <c r="O221" s="1" t="s">
        <v>1216</v>
      </c>
      <c r="P221" s="2" t="s">
        <v>1217</v>
      </c>
      <c r="Q221" s="3" t="s">
        <v>31</v>
      </c>
      <c r="R221" s="3" t="s">
        <v>1218</v>
      </c>
      <c r="S221" s="9" t="str">
        <f t="shared" si="6"/>
        <v>[{MountingType,Surface Mount},{PackageCase,8-MSOP}]</v>
      </c>
    </row>
    <row r="222" spans="1:19" ht="38.25">
      <c r="A222" s="3" t="s">
        <v>532</v>
      </c>
      <c r="B222" s="17"/>
      <c r="C222" s="17" t="s">
        <v>533</v>
      </c>
      <c r="D222" s="3" t="s">
        <v>1219</v>
      </c>
      <c r="E222" s="3"/>
      <c r="F222" s="3" t="s">
        <v>1220</v>
      </c>
      <c r="G222" s="3" t="s">
        <v>1221</v>
      </c>
      <c r="H222" s="3" t="s">
        <v>1222</v>
      </c>
      <c r="I222" s="3" t="s">
        <v>1223</v>
      </c>
      <c r="J222" s="3" t="s">
        <v>1224</v>
      </c>
      <c r="K222" s="3">
        <v>2</v>
      </c>
      <c r="L222" s="3">
        <v>1254.6240000000003</v>
      </c>
      <c r="N222" s="3" t="s">
        <v>45</v>
      </c>
      <c r="O222" s="2" t="s">
        <v>1225</v>
      </c>
      <c r="P222" s="2" t="s">
        <v>1226</v>
      </c>
      <c r="Q222" s="3" t="s">
        <v>31</v>
      </c>
      <c r="R222" s="3" t="s">
        <v>1227</v>
      </c>
      <c r="S222" s="9" t="str">
        <f t="shared" si="6"/>
        <v>[{MountingType,Surface Mount},{PackageCase,8-WPDFN (8x6)}]</v>
      </c>
    </row>
    <row r="223" spans="1:19" ht="76.5">
      <c r="A223" s="3" t="s">
        <v>532</v>
      </c>
      <c r="B223" s="17"/>
      <c r="C223" s="17" t="s">
        <v>533</v>
      </c>
      <c r="D223" s="3" t="s">
        <v>554</v>
      </c>
      <c r="E223" s="3"/>
      <c r="F223" s="17" t="s">
        <v>555</v>
      </c>
      <c r="G223" s="3" t="s">
        <v>1228</v>
      </c>
      <c r="H223" s="3" t="s">
        <v>537</v>
      </c>
      <c r="I223" s="3" t="s">
        <v>1229</v>
      </c>
      <c r="J223" s="3" t="s">
        <v>1230</v>
      </c>
      <c r="K223" s="3">
        <v>1</v>
      </c>
      <c r="L223" s="3">
        <v>498.48900000000003</v>
      </c>
      <c r="N223" s="3" t="s">
        <v>45</v>
      </c>
      <c r="O223" s="2" t="s">
        <v>1231</v>
      </c>
      <c r="P223" s="2" t="s">
        <v>1232</v>
      </c>
      <c r="Q223" s="3" t="s">
        <v>31</v>
      </c>
      <c r="R223" s="3" t="s">
        <v>1233</v>
      </c>
      <c r="S223" s="9" t="str">
        <f t="shared" si="6"/>
        <v>[{MountingType,Surface Mount},{PackageCase,8-QFN (3x3)}]</v>
      </c>
    </row>
    <row r="224" spans="1:19" ht="76.5">
      <c r="A224" s="3" t="s">
        <v>532</v>
      </c>
      <c r="B224" s="17"/>
      <c r="C224" s="17" t="s">
        <v>533</v>
      </c>
      <c r="D224" s="3" t="s">
        <v>554</v>
      </c>
      <c r="E224" s="3"/>
      <c r="F224" s="17" t="s">
        <v>555</v>
      </c>
      <c r="G224" s="3" t="s">
        <v>1234</v>
      </c>
      <c r="H224" s="3" t="s">
        <v>594</v>
      </c>
      <c r="I224" s="3" t="s">
        <v>750</v>
      </c>
      <c r="J224" s="3" t="s">
        <v>1235</v>
      </c>
      <c r="K224" s="3">
        <v>1</v>
      </c>
      <c r="L224" s="3">
        <v>64.411500000000004</v>
      </c>
      <c r="N224" s="3" t="s">
        <v>45</v>
      </c>
      <c r="O224" s="2" t="s">
        <v>1236</v>
      </c>
      <c r="P224" s="2" t="s">
        <v>1237</v>
      </c>
      <c r="Q224" s="3" t="s">
        <v>31</v>
      </c>
      <c r="R224" s="3" t="s">
        <v>1127</v>
      </c>
      <c r="S224" s="9" t="str">
        <f t="shared" si="6"/>
        <v>[{MountingType,Surface Mount},{PackageCase,SOT-23-5}]</v>
      </c>
    </row>
    <row r="225" spans="1:19">
      <c r="A225" s="3" t="s">
        <v>474</v>
      </c>
      <c r="B225" s="3"/>
      <c r="C225" s="3" t="s">
        <v>475</v>
      </c>
      <c r="D225" s="3" t="s">
        <v>476</v>
      </c>
      <c r="E225" s="3"/>
      <c r="F225" s="3" t="s">
        <v>330</v>
      </c>
      <c r="G225" s="3" t="s">
        <v>1238</v>
      </c>
      <c r="H225" s="3" t="s">
        <v>1190</v>
      </c>
      <c r="I225" s="3" t="s">
        <v>478</v>
      </c>
      <c r="J225" s="4" t="s">
        <v>1239</v>
      </c>
      <c r="K225" s="3">
        <v>5</v>
      </c>
      <c r="L225" s="3">
        <v>238.04249999999999</v>
      </c>
      <c r="N225" s="4" t="s">
        <v>1240</v>
      </c>
      <c r="O225" s="1" t="s">
        <v>1241</v>
      </c>
      <c r="P225" s="2" t="s">
        <v>1242</v>
      </c>
      <c r="Q225" s="3" t="s">
        <v>31</v>
      </c>
      <c r="R225" s="3" t="s">
        <v>1243</v>
      </c>
      <c r="S225" s="9" t="str">
        <f t="shared" si="6"/>
        <v>[{MountingType,Surface Mount},{PackageCase,SOT-143-4}]</v>
      </c>
    </row>
    <row r="226" spans="1:19" ht="63.75">
      <c r="A226" s="3" t="s">
        <v>532</v>
      </c>
      <c r="B226" s="17"/>
      <c r="C226" s="17" t="s">
        <v>533</v>
      </c>
      <c r="D226" s="3" t="s">
        <v>1094</v>
      </c>
      <c r="E226" s="3"/>
      <c r="F226" s="17" t="s">
        <v>1095</v>
      </c>
      <c r="G226" s="3" t="s">
        <v>1244</v>
      </c>
      <c r="H226" s="4" t="s">
        <v>1097</v>
      </c>
      <c r="I226" s="3" t="s">
        <v>714</v>
      </c>
      <c r="J226" s="3" t="s">
        <v>1098</v>
      </c>
      <c r="K226" s="3">
        <v>2</v>
      </c>
      <c r="L226" s="3">
        <v>896.16000000000008</v>
      </c>
      <c r="N226" s="3" t="s">
        <v>1099</v>
      </c>
      <c r="O226" s="2" t="s">
        <v>1245</v>
      </c>
      <c r="P226" s="14" t="s">
        <v>1246</v>
      </c>
      <c r="Q226" s="3" t="s">
        <v>31</v>
      </c>
      <c r="R226" s="3" t="s">
        <v>1102</v>
      </c>
      <c r="S226" s="9" t="str">
        <f t="shared" si="6"/>
        <v>[{MountingType,Surface Mount},{PackageCase,18-SMD Module}]</v>
      </c>
    </row>
    <row r="227" spans="1:19" ht="51">
      <c r="A227" s="3" t="s">
        <v>532</v>
      </c>
      <c r="B227" s="17"/>
      <c r="C227" s="17" t="s">
        <v>533</v>
      </c>
      <c r="D227" s="3" t="s">
        <v>534</v>
      </c>
      <c r="E227" s="3"/>
      <c r="F227" s="17" t="s">
        <v>535</v>
      </c>
      <c r="G227" s="3" t="s">
        <v>1247</v>
      </c>
      <c r="H227" s="3" t="s">
        <v>547</v>
      </c>
      <c r="I227" s="3" t="s">
        <v>538</v>
      </c>
      <c r="J227" s="3" t="s">
        <v>1248</v>
      </c>
      <c r="K227" s="3">
        <v>2</v>
      </c>
      <c r="L227" s="3">
        <v>476.08499999999998</v>
      </c>
      <c r="N227" s="3" t="s">
        <v>45</v>
      </c>
      <c r="O227" s="2" t="s">
        <v>1249</v>
      </c>
      <c r="P227" s="2" t="s">
        <v>1142</v>
      </c>
      <c r="Q227" s="3" t="s">
        <v>31</v>
      </c>
      <c r="R227" s="3" t="s">
        <v>1143</v>
      </c>
      <c r="S227" s="9" t="str">
        <f t="shared" si="6"/>
        <v>[{MountingType,Surface Mount},{PackageCase,8-VSSOP}]</v>
      </c>
    </row>
    <row r="228" spans="1:19" ht="89.25">
      <c r="A228" s="3" t="s">
        <v>532</v>
      </c>
      <c r="B228" s="17"/>
      <c r="C228" s="17" t="s">
        <v>533</v>
      </c>
      <c r="D228" s="3" t="s">
        <v>573</v>
      </c>
      <c r="E228" s="3"/>
      <c r="F228" s="17" t="s">
        <v>574</v>
      </c>
      <c r="G228" s="3" t="s">
        <v>1250</v>
      </c>
      <c r="H228" s="3" t="s">
        <v>1251</v>
      </c>
      <c r="I228" s="3" t="s">
        <v>1252</v>
      </c>
      <c r="J228" s="3" t="s">
        <v>1253</v>
      </c>
      <c r="K228" s="3">
        <v>1</v>
      </c>
      <c r="L228" s="3">
        <v>1305.0330000000001</v>
      </c>
      <c r="N228" s="3" t="s">
        <v>1254</v>
      </c>
      <c r="O228" s="2" t="s">
        <v>1255</v>
      </c>
      <c r="P228" s="2" t="s">
        <v>1256</v>
      </c>
      <c r="Q228" s="3" t="s">
        <v>31</v>
      </c>
      <c r="R228" s="3" t="s">
        <v>1257</v>
      </c>
      <c r="S228" s="9" t="str">
        <f t="shared" si="6"/>
        <v>[{MountingType,Surface Mount},{PackageCase,24-QFN (4x4)}]</v>
      </c>
    </row>
    <row r="229" spans="1:19" ht="76.5">
      <c r="A229" s="3" t="s">
        <v>532</v>
      </c>
      <c r="B229" s="17"/>
      <c r="C229" s="17" t="s">
        <v>533</v>
      </c>
      <c r="D229" s="3" t="s">
        <v>554</v>
      </c>
      <c r="E229" s="3"/>
      <c r="F229" s="17" t="s">
        <v>555</v>
      </c>
      <c r="G229" s="3" t="s">
        <v>1258</v>
      </c>
      <c r="H229" s="3" t="s">
        <v>627</v>
      </c>
      <c r="I229" s="3" t="s">
        <v>750</v>
      </c>
      <c r="J229" s="3" t="s">
        <v>1259</v>
      </c>
      <c r="K229" s="3">
        <v>2</v>
      </c>
      <c r="L229" s="3">
        <v>1904.34</v>
      </c>
      <c r="N229" s="3" t="s">
        <v>45</v>
      </c>
      <c r="O229" s="2" t="s">
        <v>1260</v>
      </c>
      <c r="P229" s="2" t="s">
        <v>1261</v>
      </c>
      <c r="Q229" s="3" t="s">
        <v>31</v>
      </c>
      <c r="R229" s="3" t="s">
        <v>1262</v>
      </c>
      <c r="S229" s="9" t="str">
        <f t="shared" si="6"/>
        <v>[{MountingType,Surface Mount},{PackageCase,8-LFCSP-WD (3x3)}]</v>
      </c>
    </row>
    <row r="230" spans="1:19" ht="51">
      <c r="A230" s="3" t="s">
        <v>532</v>
      </c>
      <c r="B230" s="17"/>
      <c r="C230" s="17" t="s">
        <v>533</v>
      </c>
      <c r="D230" s="3" t="s">
        <v>544</v>
      </c>
      <c r="E230" s="3"/>
      <c r="F230" s="17" t="s">
        <v>545</v>
      </c>
      <c r="G230" s="3" t="s">
        <v>1263</v>
      </c>
      <c r="H230" s="3" t="s">
        <v>547</v>
      </c>
      <c r="I230" s="3" t="s">
        <v>587</v>
      </c>
      <c r="J230" s="3" t="s">
        <v>1264</v>
      </c>
      <c r="K230" s="3">
        <v>3</v>
      </c>
      <c r="L230" s="3">
        <v>151.227</v>
      </c>
      <c r="N230" s="3" t="s">
        <v>550</v>
      </c>
      <c r="O230" s="2" t="s">
        <v>1265</v>
      </c>
      <c r="P230" s="2" t="s">
        <v>1266</v>
      </c>
      <c r="Q230" s="3" t="s">
        <v>31</v>
      </c>
      <c r="R230" s="3" t="s">
        <v>1267</v>
      </c>
      <c r="S230" s="9" t="str">
        <f t="shared" si="6"/>
        <v>[{MountingType,Surface Mount},{PackageCase,14-SOIC}]</v>
      </c>
    </row>
    <row r="231" spans="1:19" ht="89.25">
      <c r="A231" s="3" t="s">
        <v>532</v>
      </c>
      <c r="B231" s="17"/>
      <c r="C231" s="17" t="s">
        <v>533</v>
      </c>
      <c r="D231" s="3" t="s">
        <v>591</v>
      </c>
      <c r="E231" s="3"/>
      <c r="F231" s="17" t="s">
        <v>592</v>
      </c>
      <c r="G231" s="3" t="s">
        <v>1268</v>
      </c>
      <c r="H231" s="3" t="s">
        <v>594</v>
      </c>
      <c r="I231" s="3" t="s">
        <v>595</v>
      </c>
      <c r="J231" s="3" t="s">
        <v>1269</v>
      </c>
      <c r="K231" s="3">
        <v>5</v>
      </c>
      <c r="L231" s="3">
        <v>1436.6565000000001</v>
      </c>
      <c r="N231" s="3" t="s">
        <v>1270</v>
      </c>
      <c r="O231" s="2" t="s">
        <v>1271</v>
      </c>
      <c r="P231" s="2" t="s">
        <v>1272</v>
      </c>
      <c r="Q231" s="3" t="s">
        <v>31</v>
      </c>
      <c r="R231" s="3" t="s">
        <v>1273</v>
      </c>
      <c r="S231" s="9" t="str">
        <f t="shared" si="6"/>
        <v>[{MountingType,Surface Mount},{PackageCase,64-TQFP (10x10)}]</v>
      </c>
    </row>
    <row r="232" spans="1:19" ht="89.25">
      <c r="A232" s="3" t="s">
        <v>532</v>
      </c>
      <c r="B232" s="17"/>
      <c r="C232" s="17" t="s">
        <v>533</v>
      </c>
      <c r="D232" s="3" t="s">
        <v>591</v>
      </c>
      <c r="E232" s="3"/>
      <c r="F232" s="17" t="s">
        <v>592</v>
      </c>
      <c r="G232" s="3" t="s">
        <v>1274</v>
      </c>
      <c r="H232" s="3" t="s">
        <v>594</v>
      </c>
      <c r="I232" s="3" t="s">
        <v>595</v>
      </c>
      <c r="J232" s="3" t="s">
        <v>1275</v>
      </c>
      <c r="K232" s="3">
        <v>1</v>
      </c>
      <c r="L232" s="3">
        <v>882.15750000000003</v>
      </c>
      <c r="N232" s="3" t="s">
        <v>721</v>
      </c>
      <c r="O232" s="2" t="s">
        <v>1276</v>
      </c>
      <c r="P232" s="2" t="s">
        <v>1277</v>
      </c>
      <c r="Q232" s="3" t="s">
        <v>31</v>
      </c>
      <c r="R232" s="3" t="s">
        <v>1278</v>
      </c>
      <c r="S232" s="9" t="str">
        <f t="shared" si="6"/>
        <v>[{MountingType,Surface Mount},{PackageCase,32-TQFP (7x7)}]</v>
      </c>
    </row>
    <row r="233" spans="1:19" ht="63.75">
      <c r="A233" s="3" t="s">
        <v>532</v>
      </c>
      <c r="B233" s="17"/>
      <c r="C233" s="17" t="s">
        <v>533</v>
      </c>
      <c r="D233" s="3" t="s">
        <v>1094</v>
      </c>
      <c r="E233" s="3"/>
      <c r="F233" s="17" t="s">
        <v>1095</v>
      </c>
      <c r="G233" s="4" t="s">
        <v>1279</v>
      </c>
      <c r="H233" s="4" t="s">
        <v>1097</v>
      </c>
      <c r="I233" s="3" t="s">
        <v>714</v>
      </c>
      <c r="J233" s="3" t="s">
        <v>1280</v>
      </c>
      <c r="K233" s="3">
        <v>1</v>
      </c>
      <c r="L233" s="3">
        <v>1142.604</v>
      </c>
      <c r="N233" s="3" t="s">
        <v>1281</v>
      </c>
      <c r="O233" s="2" t="s">
        <v>1282</v>
      </c>
      <c r="P233" s="2" t="s">
        <v>1283</v>
      </c>
      <c r="Q233" s="3" t="s">
        <v>31</v>
      </c>
      <c r="R233" s="3"/>
      <c r="S233" s="9" t="str">
        <f>CONCATENATE("[","{","MountingType",",",Q233,"}","]")</f>
        <v>[{MountingType,Surface Mount}]</v>
      </c>
    </row>
    <row r="234" spans="1:19" ht="63.75">
      <c r="A234" s="3" t="s">
        <v>532</v>
      </c>
      <c r="B234" s="17"/>
      <c r="C234" s="17" t="s">
        <v>533</v>
      </c>
      <c r="D234" s="3" t="s">
        <v>1094</v>
      </c>
      <c r="E234" s="3"/>
      <c r="F234" s="17" t="s">
        <v>1095</v>
      </c>
      <c r="G234" s="3" t="s">
        <v>1284</v>
      </c>
      <c r="H234" s="4" t="s">
        <v>1097</v>
      </c>
      <c r="I234" s="3" t="s">
        <v>714</v>
      </c>
      <c r="J234" s="3" t="s">
        <v>1285</v>
      </c>
      <c r="K234" s="3">
        <v>2</v>
      </c>
      <c r="L234" s="3">
        <v>0</v>
      </c>
      <c r="N234" s="3" t="s">
        <v>1281</v>
      </c>
      <c r="O234" s="2" t="s">
        <v>1286</v>
      </c>
      <c r="P234" s="2" t="s">
        <v>1287</v>
      </c>
      <c r="Q234" s="3" t="s">
        <v>31</v>
      </c>
      <c r="R234" s="3"/>
      <c r="S234" s="9" t="str">
        <f>CONCATENATE("[","{","MountingType",",",Q234,"}","]")</f>
        <v>[{MountingType,Surface Mount}]</v>
      </c>
    </row>
    <row r="235" spans="1:19" ht="51">
      <c r="A235" s="3" t="s">
        <v>532</v>
      </c>
      <c r="B235" s="17"/>
      <c r="C235" s="17" t="s">
        <v>533</v>
      </c>
      <c r="D235" s="3" t="s">
        <v>534</v>
      </c>
      <c r="E235" s="3"/>
      <c r="F235" s="17" t="s">
        <v>535</v>
      </c>
      <c r="G235" s="3" t="s">
        <v>1288</v>
      </c>
      <c r="H235" s="3" t="s">
        <v>547</v>
      </c>
      <c r="I235" s="3" t="s">
        <v>538</v>
      </c>
      <c r="J235" s="3" t="s">
        <v>1289</v>
      </c>
      <c r="K235" s="3">
        <v>60</v>
      </c>
      <c r="L235" s="3">
        <v>131.62350000000001</v>
      </c>
      <c r="N235" s="3" t="s">
        <v>45</v>
      </c>
      <c r="O235" s="2" t="s">
        <v>1290</v>
      </c>
      <c r="P235" s="2" t="s">
        <v>1080</v>
      </c>
      <c r="Q235" s="3" t="s">
        <v>31</v>
      </c>
      <c r="R235" s="3" t="s">
        <v>1081</v>
      </c>
      <c r="S235" s="9" t="str">
        <f t="shared" ref="S235:S294" si="7">CONCATENATE("[","{","MountingType",",",Q235,"}",",","{","PackageCase",",",R235,"}","]")</f>
        <v>[{MountingType,Surface Mount},{PackageCase,8-SOIC}]</v>
      </c>
    </row>
    <row r="236" spans="1:19" ht="51">
      <c r="A236" s="3" t="s">
        <v>532</v>
      </c>
      <c r="B236" s="17"/>
      <c r="C236" s="17" t="s">
        <v>533</v>
      </c>
      <c r="D236" s="3" t="s">
        <v>534</v>
      </c>
      <c r="E236" s="3"/>
      <c r="F236" s="17" t="s">
        <v>535</v>
      </c>
      <c r="G236" s="3" t="s">
        <v>1291</v>
      </c>
      <c r="H236" s="3" t="s">
        <v>547</v>
      </c>
      <c r="I236" s="3" t="s">
        <v>538</v>
      </c>
      <c r="J236" s="3" t="s">
        <v>1289</v>
      </c>
      <c r="K236" s="3">
        <v>5</v>
      </c>
      <c r="L236" s="3">
        <v>1736.3100000000002</v>
      </c>
      <c r="N236" s="3" t="s">
        <v>1292</v>
      </c>
      <c r="O236" s="2" t="s">
        <v>1293</v>
      </c>
      <c r="P236" s="2" t="s">
        <v>1080</v>
      </c>
      <c r="Q236" s="3" t="s">
        <v>31</v>
      </c>
      <c r="R236" s="3" t="s">
        <v>1294</v>
      </c>
      <c r="S236" s="9" t="str">
        <f t="shared" si="7"/>
        <v>[{MountingType,Surface Mount},{PackageCase,9-SOIC}]</v>
      </c>
    </row>
    <row r="237" spans="1:19" ht="63.75">
      <c r="A237" s="3" t="s">
        <v>532</v>
      </c>
      <c r="B237" s="17"/>
      <c r="C237" s="17" t="s">
        <v>533</v>
      </c>
      <c r="D237" s="3" t="s">
        <v>1094</v>
      </c>
      <c r="E237" s="3"/>
      <c r="F237" s="17" t="s">
        <v>1095</v>
      </c>
      <c r="G237" s="3" t="s">
        <v>1295</v>
      </c>
      <c r="H237" s="3" t="s">
        <v>1251</v>
      </c>
      <c r="I237" s="3" t="s">
        <v>714</v>
      </c>
      <c r="J237" s="3" t="s">
        <v>1296</v>
      </c>
      <c r="K237" s="3">
        <v>1</v>
      </c>
      <c r="L237" s="3">
        <v>0</v>
      </c>
      <c r="N237" s="3" t="s">
        <v>45</v>
      </c>
      <c r="O237" s="2" t="s">
        <v>1297</v>
      </c>
      <c r="P237" s="2" t="s">
        <v>1298</v>
      </c>
      <c r="Q237" s="3" t="s">
        <v>31</v>
      </c>
      <c r="R237" s="3" t="s">
        <v>1299</v>
      </c>
      <c r="S237" s="9" t="str">
        <f t="shared" si="7"/>
        <v>[{MountingType,Surface Mount},{PackageCase,48-QFN (7x7)}]</v>
      </c>
    </row>
    <row r="238" spans="1:19" ht="89.25">
      <c r="A238" s="3" t="s">
        <v>532</v>
      </c>
      <c r="B238" s="17"/>
      <c r="C238" s="17" t="s">
        <v>533</v>
      </c>
      <c r="D238" s="3" t="s">
        <v>591</v>
      </c>
      <c r="E238" s="3"/>
      <c r="F238" s="17" t="s">
        <v>592</v>
      </c>
      <c r="G238" s="3" t="s">
        <v>1300</v>
      </c>
      <c r="H238" s="3" t="s">
        <v>537</v>
      </c>
      <c r="I238" s="3" t="s">
        <v>595</v>
      </c>
      <c r="J238" s="3" t="s">
        <v>1301</v>
      </c>
      <c r="K238" s="3">
        <v>1</v>
      </c>
      <c r="L238" s="3">
        <v>515.29200000000003</v>
      </c>
      <c r="N238" s="3" t="s">
        <v>1302</v>
      </c>
      <c r="O238" s="2" t="s">
        <v>1303</v>
      </c>
      <c r="P238" s="2" t="s">
        <v>1304</v>
      </c>
      <c r="Q238" s="3" t="s">
        <v>31</v>
      </c>
      <c r="R238" s="3" t="s">
        <v>1305</v>
      </c>
      <c r="S238" s="9" t="str">
        <f t="shared" si="7"/>
        <v>[{MountingType,Surface Mount},{PackageCase,208-LQFP (28x28)}]</v>
      </c>
    </row>
    <row r="239" spans="1:19" ht="76.5">
      <c r="A239" s="3" t="s">
        <v>532</v>
      </c>
      <c r="B239" s="17"/>
      <c r="C239" s="17" t="s">
        <v>533</v>
      </c>
      <c r="D239" s="3" t="s">
        <v>554</v>
      </c>
      <c r="E239" s="3"/>
      <c r="F239" s="17" t="s">
        <v>555</v>
      </c>
      <c r="G239" s="3" t="s">
        <v>1306</v>
      </c>
      <c r="H239" s="3" t="s">
        <v>537</v>
      </c>
      <c r="I239" s="3" t="s">
        <v>750</v>
      </c>
      <c r="J239" s="3" t="s">
        <v>1307</v>
      </c>
      <c r="K239" s="3">
        <v>2</v>
      </c>
      <c r="L239" s="3">
        <v>571.30200000000002</v>
      </c>
      <c r="N239" s="3" t="s">
        <v>45</v>
      </c>
      <c r="O239" s="2" t="s">
        <v>1308</v>
      </c>
      <c r="P239" s="2" t="s">
        <v>1232</v>
      </c>
      <c r="Q239" s="3" t="s">
        <v>31</v>
      </c>
      <c r="R239" s="3" t="s">
        <v>1309</v>
      </c>
      <c r="S239" s="9" t="str">
        <f t="shared" si="7"/>
        <v>[{MountingType,Surface Mount},{PackageCase,8-DFN (4x4)}]</v>
      </c>
    </row>
    <row r="240" spans="1:19" ht="63.75">
      <c r="A240" s="3" t="s">
        <v>532</v>
      </c>
      <c r="B240" s="17"/>
      <c r="C240" s="17" t="s">
        <v>533</v>
      </c>
      <c r="D240" s="3" t="s">
        <v>1094</v>
      </c>
      <c r="E240" s="3"/>
      <c r="F240" s="17" t="s">
        <v>1095</v>
      </c>
      <c r="G240" s="3" t="s">
        <v>1310</v>
      </c>
      <c r="H240" s="4" t="s">
        <v>1097</v>
      </c>
      <c r="I240" s="3" t="s">
        <v>714</v>
      </c>
      <c r="J240" s="3" t="s">
        <v>1098</v>
      </c>
      <c r="K240" s="3">
        <v>5</v>
      </c>
      <c r="L240" s="3">
        <v>1302.2325000000001</v>
      </c>
      <c r="N240" s="3" t="s">
        <v>1281</v>
      </c>
      <c r="O240" s="2" t="s">
        <v>1282</v>
      </c>
      <c r="P240" s="2" t="s">
        <v>1311</v>
      </c>
      <c r="Q240" s="3" t="s">
        <v>31</v>
      </c>
      <c r="R240" s="3" t="s">
        <v>1312</v>
      </c>
      <c r="S240" s="9" t="str">
        <f t="shared" si="7"/>
        <v>[{MountingType,Surface Mount},{PackageCase,38-SMD Module}]</v>
      </c>
    </row>
    <row r="241" spans="1:19" ht="63.75">
      <c r="A241" s="3" t="s">
        <v>532</v>
      </c>
      <c r="B241" s="17"/>
      <c r="C241" s="17" t="s">
        <v>533</v>
      </c>
      <c r="D241" s="3" t="s">
        <v>1094</v>
      </c>
      <c r="E241" s="3"/>
      <c r="F241" s="17" t="s">
        <v>1095</v>
      </c>
      <c r="G241" s="3" t="s">
        <v>1313</v>
      </c>
      <c r="H241" s="3" t="s">
        <v>1314</v>
      </c>
      <c r="I241" s="3" t="s">
        <v>714</v>
      </c>
      <c r="J241" s="3" t="s">
        <v>1315</v>
      </c>
      <c r="K241" s="3">
        <v>1</v>
      </c>
      <c r="L241" s="3">
        <v>0</v>
      </c>
      <c r="N241" s="3" t="s">
        <v>1316</v>
      </c>
      <c r="O241" s="2" t="s">
        <v>1317</v>
      </c>
      <c r="P241" s="2" t="s">
        <v>1318</v>
      </c>
      <c r="Q241" s="3" t="s">
        <v>31</v>
      </c>
      <c r="R241" s="3"/>
      <c r="S241" s="9" t="str">
        <f>CONCATENATE("[","{","MountingType",",",Q241,"}","]")</f>
        <v>[{MountingType,Surface Mount}]</v>
      </c>
    </row>
    <row r="242" spans="1:19" ht="76.5">
      <c r="A242" s="3" t="s">
        <v>532</v>
      </c>
      <c r="B242" s="17"/>
      <c r="C242" s="17" t="s">
        <v>533</v>
      </c>
      <c r="D242" s="3" t="s">
        <v>554</v>
      </c>
      <c r="E242" s="3"/>
      <c r="F242" s="17" t="s">
        <v>555</v>
      </c>
      <c r="G242" s="3" t="s">
        <v>1319</v>
      </c>
      <c r="H242" s="3" t="s">
        <v>547</v>
      </c>
      <c r="I242" s="3" t="s">
        <v>750</v>
      </c>
      <c r="J242" s="3" t="s">
        <v>1320</v>
      </c>
      <c r="K242" s="3">
        <v>6</v>
      </c>
      <c r="L242" s="3">
        <v>1940.7465</v>
      </c>
      <c r="N242" s="3" t="s">
        <v>1321</v>
      </c>
      <c r="O242" s="2" t="s">
        <v>1322</v>
      </c>
      <c r="P242" s="2" t="s">
        <v>1323</v>
      </c>
      <c r="Q242" s="3" t="s">
        <v>31</v>
      </c>
      <c r="R242" s="3" t="s">
        <v>1324</v>
      </c>
      <c r="S242" s="9" t="str">
        <f t="shared" si="7"/>
        <v>[{MountingType,Surface Mount},{PackageCase,TO-PMOD-7}]</v>
      </c>
    </row>
    <row r="243" spans="1:19" ht="63.75">
      <c r="A243" s="3" t="s">
        <v>532</v>
      </c>
      <c r="B243" s="17"/>
      <c r="C243" s="17" t="s">
        <v>533</v>
      </c>
      <c r="D243" s="3" t="s">
        <v>1094</v>
      </c>
      <c r="E243" s="3"/>
      <c r="F243" s="17" t="s">
        <v>1095</v>
      </c>
      <c r="G243" s="3" t="s">
        <v>1325</v>
      </c>
      <c r="H243" s="3" t="s">
        <v>1104</v>
      </c>
      <c r="I243" s="3" t="s">
        <v>1326</v>
      </c>
      <c r="J243" s="3" t="s">
        <v>1327</v>
      </c>
      <c r="K243" s="3">
        <v>15</v>
      </c>
      <c r="L243" s="3">
        <v>280.05</v>
      </c>
      <c r="N243" s="3"/>
      <c r="O243" s="2" t="s">
        <v>1328</v>
      </c>
      <c r="P243" s="2" t="s">
        <v>1329</v>
      </c>
      <c r="Q243" s="3" t="s">
        <v>31</v>
      </c>
      <c r="R243" s="3" t="s">
        <v>1330</v>
      </c>
      <c r="S243" s="9" t="str">
        <f t="shared" si="7"/>
        <v>[{MountingType,Surface Mount},{PackageCase,SOP-8 }]</v>
      </c>
    </row>
    <row r="244" spans="1:19" ht="38.25">
      <c r="A244" s="3" t="s">
        <v>532</v>
      </c>
      <c r="B244" s="17"/>
      <c r="C244" s="17" t="s">
        <v>533</v>
      </c>
      <c r="D244" s="3" t="s">
        <v>1219</v>
      </c>
      <c r="E244" s="3"/>
      <c r="F244" s="3" t="s">
        <v>1220</v>
      </c>
      <c r="G244" s="3" t="s">
        <v>1331</v>
      </c>
      <c r="H244" s="3" t="s">
        <v>1332</v>
      </c>
      <c r="I244" s="3" t="s">
        <v>1333</v>
      </c>
      <c r="J244" s="3" t="s">
        <v>1334</v>
      </c>
      <c r="K244" s="3">
        <v>3</v>
      </c>
      <c r="L244" s="3">
        <v>840.15000000000009</v>
      </c>
      <c r="N244" s="3"/>
      <c r="O244" s="2" t="s">
        <v>1335</v>
      </c>
      <c r="P244" s="2" t="s">
        <v>1336</v>
      </c>
      <c r="Q244" s="3" t="s">
        <v>31</v>
      </c>
      <c r="R244" s="3" t="s">
        <v>1330</v>
      </c>
      <c r="S244" s="9" t="str">
        <f t="shared" si="7"/>
        <v>[{MountingType,Surface Mount},{PackageCase,SOP-8 }]</v>
      </c>
    </row>
    <row r="245" spans="1:19" ht="76.5">
      <c r="A245" s="3" t="s">
        <v>532</v>
      </c>
      <c r="B245" s="17"/>
      <c r="C245" s="17" t="s">
        <v>533</v>
      </c>
      <c r="D245" s="3" t="s">
        <v>554</v>
      </c>
      <c r="E245" s="3"/>
      <c r="F245" s="17" t="s">
        <v>555</v>
      </c>
      <c r="G245" s="3" t="s">
        <v>1337</v>
      </c>
      <c r="H245" s="3" t="s">
        <v>547</v>
      </c>
      <c r="I245" s="3" t="s">
        <v>750</v>
      </c>
      <c r="J245" s="3" t="s">
        <v>1338</v>
      </c>
      <c r="K245" s="3">
        <v>3</v>
      </c>
      <c r="L245" s="3">
        <v>1005.3795</v>
      </c>
      <c r="N245" s="3" t="s">
        <v>45</v>
      </c>
      <c r="O245" s="2" t="s">
        <v>1339</v>
      </c>
      <c r="P245" s="2" t="s">
        <v>1340</v>
      </c>
      <c r="Q245" s="3" t="s">
        <v>31</v>
      </c>
      <c r="R245" s="3" t="s">
        <v>1341</v>
      </c>
      <c r="S245" s="9" t="str">
        <f t="shared" si="7"/>
        <v>[{MountingType,Surface Mount},{PackageCase,11-VQFN-HR (2.5x2)}]</v>
      </c>
    </row>
    <row r="246" spans="1:19" ht="76.5">
      <c r="A246" s="3" t="s">
        <v>413</v>
      </c>
      <c r="B246" s="17"/>
      <c r="C246" s="17" t="s">
        <v>414</v>
      </c>
      <c r="D246" s="3" t="s">
        <v>429</v>
      </c>
      <c r="E246" s="3"/>
      <c r="F246" s="17" t="s">
        <v>430</v>
      </c>
      <c r="G246" s="3" t="s">
        <v>1342</v>
      </c>
      <c r="H246" s="3" t="s">
        <v>1343</v>
      </c>
      <c r="I246" s="3" t="s">
        <v>433</v>
      </c>
      <c r="J246" s="3" t="s">
        <v>1344</v>
      </c>
      <c r="K246" s="3">
        <v>39</v>
      </c>
      <c r="L246" s="3">
        <v>134.42400000000001</v>
      </c>
      <c r="N246" s="3" t="s">
        <v>45</v>
      </c>
      <c r="O246" s="2" t="s">
        <v>1345</v>
      </c>
      <c r="P246" s="2" t="s">
        <v>1346</v>
      </c>
      <c r="Q246" s="3" t="s">
        <v>31</v>
      </c>
      <c r="R246" s="3" t="s">
        <v>1347</v>
      </c>
      <c r="S246" s="9" t="str">
        <f t="shared" si="7"/>
        <v>[{MountingType,Surface Mount},{PackageCase,UMT6}]</v>
      </c>
    </row>
    <row r="247" spans="1:19" ht="76.5">
      <c r="A247" s="3" t="s">
        <v>532</v>
      </c>
      <c r="B247" s="17"/>
      <c r="C247" s="17" t="s">
        <v>533</v>
      </c>
      <c r="D247" s="3" t="s">
        <v>554</v>
      </c>
      <c r="E247" s="3"/>
      <c r="F247" s="17" t="s">
        <v>555</v>
      </c>
      <c r="G247" s="3" t="s">
        <v>1348</v>
      </c>
      <c r="H247" s="3" t="s">
        <v>547</v>
      </c>
      <c r="I247" s="3" t="s">
        <v>1123</v>
      </c>
      <c r="J247" s="3" t="s">
        <v>1349</v>
      </c>
      <c r="K247" s="3">
        <v>4</v>
      </c>
      <c r="L247" s="3">
        <v>380.86800000000005</v>
      </c>
      <c r="N247" s="3" t="s">
        <v>45</v>
      </c>
      <c r="O247" s="2" t="s">
        <v>1350</v>
      </c>
      <c r="P247" s="2" t="s">
        <v>1351</v>
      </c>
      <c r="Q247" s="3" t="s">
        <v>31</v>
      </c>
      <c r="R247" s="3" t="s">
        <v>1352</v>
      </c>
      <c r="S247" s="9" t="str">
        <f t="shared" si="7"/>
        <v>[{MountingType,Surface Mount},{PackageCase,10-HVSSOP}]</v>
      </c>
    </row>
    <row r="248" spans="1:19" ht="63.75">
      <c r="A248" s="3" t="s">
        <v>532</v>
      </c>
      <c r="B248" s="17"/>
      <c r="C248" s="17" t="s">
        <v>533</v>
      </c>
      <c r="D248" s="3" t="s">
        <v>1094</v>
      </c>
      <c r="E248" s="3"/>
      <c r="F248" s="17" t="s">
        <v>1095</v>
      </c>
      <c r="G248" s="3" t="s">
        <v>1353</v>
      </c>
      <c r="H248" s="4" t="s">
        <v>1097</v>
      </c>
      <c r="I248" s="3" t="s">
        <v>714</v>
      </c>
      <c r="J248" s="3" t="s">
        <v>1285</v>
      </c>
      <c r="K248" s="3">
        <v>2</v>
      </c>
      <c r="L248" s="3">
        <v>1386.2475000000002</v>
      </c>
      <c r="N248" s="3" t="s">
        <v>1281</v>
      </c>
      <c r="O248" s="2" t="s">
        <v>1354</v>
      </c>
      <c r="P248" s="2" t="s">
        <v>1355</v>
      </c>
      <c r="Q248" s="3" t="s">
        <v>31</v>
      </c>
      <c r="R248" s="3" t="s">
        <v>1356</v>
      </c>
      <c r="S248" s="9" t="str">
        <f t="shared" si="7"/>
        <v>[{MountingType,Surface Mount},{PackageCase,48-SMD Module}]</v>
      </c>
    </row>
    <row r="249" spans="1:19" ht="63.75">
      <c r="A249" s="3" t="s">
        <v>19</v>
      </c>
      <c r="B249" s="3"/>
      <c r="C249" s="17" t="s">
        <v>20</v>
      </c>
      <c r="D249" s="3" t="s">
        <v>734</v>
      </c>
      <c r="E249" s="3"/>
      <c r="F249" s="4" t="s">
        <v>735</v>
      </c>
      <c r="G249" s="3" t="s">
        <v>1357</v>
      </c>
      <c r="H249" s="3" t="s">
        <v>1358</v>
      </c>
      <c r="I249" s="3" t="s">
        <v>737</v>
      </c>
      <c r="J249" s="3" t="s">
        <v>1359</v>
      </c>
      <c r="K249" s="3">
        <v>2</v>
      </c>
      <c r="L249" s="3">
        <v>812.14499999999998</v>
      </c>
      <c r="N249" s="3" t="s">
        <v>1360</v>
      </c>
      <c r="O249" s="2" t="s">
        <v>1361</v>
      </c>
      <c r="P249" s="2" t="s">
        <v>1362</v>
      </c>
      <c r="Q249" s="3" t="s">
        <v>31</v>
      </c>
      <c r="R249" s="3" t="s">
        <v>1363</v>
      </c>
      <c r="S249" s="9" t="str">
        <f t="shared" si="7"/>
        <v>[{MountingType,Surface Mount},{PackageCase,28-QFN (5x5)}]</v>
      </c>
    </row>
    <row r="250" spans="1:19" ht="76.5">
      <c r="A250" s="3" t="s">
        <v>532</v>
      </c>
      <c r="B250" s="17"/>
      <c r="C250" s="17" t="s">
        <v>533</v>
      </c>
      <c r="D250" s="3" t="s">
        <v>554</v>
      </c>
      <c r="E250" s="3"/>
      <c r="F250" s="17" t="s">
        <v>555</v>
      </c>
      <c r="G250" s="3" t="s">
        <v>1364</v>
      </c>
      <c r="H250" s="3" t="s">
        <v>627</v>
      </c>
      <c r="I250" s="3" t="s">
        <v>1123</v>
      </c>
      <c r="J250" s="3" t="s">
        <v>1365</v>
      </c>
      <c r="K250" s="3">
        <v>5</v>
      </c>
      <c r="L250" s="3">
        <v>980.17500000000007</v>
      </c>
      <c r="N250" s="3"/>
      <c r="O250" s="2" t="s">
        <v>1366</v>
      </c>
      <c r="P250" s="2" t="s">
        <v>1367</v>
      </c>
      <c r="Q250" s="3" t="s">
        <v>31</v>
      </c>
      <c r="R250" s="3" t="s">
        <v>1368</v>
      </c>
      <c r="S250" s="9" t="str">
        <f t="shared" si="7"/>
        <v>[{MountingType,Surface Mount},{PackageCase,DFN-12}]</v>
      </c>
    </row>
    <row r="251" spans="1:19" ht="38.25">
      <c r="A251" s="3" t="s">
        <v>532</v>
      </c>
      <c r="B251" s="17"/>
      <c r="C251" s="17" t="s">
        <v>533</v>
      </c>
      <c r="D251" s="3" t="s">
        <v>770</v>
      </c>
      <c r="E251" s="3"/>
      <c r="F251" s="3" t="s">
        <v>771</v>
      </c>
      <c r="G251" s="3" t="s">
        <v>1369</v>
      </c>
      <c r="H251" s="3" t="s">
        <v>1370</v>
      </c>
      <c r="I251" s="4" t="s">
        <v>850</v>
      </c>
      <c r="J251" s="3" t="s">
        <v>1371</v>
      </c>
      <c r="K251" s="3">
        <v>1</v>
      </c>
      <c r="L251" s="3">
        <v>0</v>
      </c>
      <c r="N251" s="3"/>
      <c r="O251" s="2" t="s">
        <v>1372</v>
      </c>
      <c r="P251" s="2" t="s">
        <v>1373</v>
      </c>
      <c r="Q251" s="3" t="s">
        <v>31</v>
      </c>
      <c r="R251" s="3" t="s">
        <v>1374</v>
      </c>
      <c r="S251" s="9" t="str">
        <f t="shared" si="7"/>
        <v>[{MountingType,Surface Mount},{PackageCase,SOIC16}]</v>
      </c>
    </row>
    <row r="252" spans="1:19" ht="76.5">
      <c r="A252" s="3" t="s">
        <v>532</v>
      </c>
      <c r="B252" s="17"/>
      <c r="C252" s="17" t="s">
        <v>533</v>
      </c>
      <c r="D252" s="3" t="s">
        <v>554</v>
      </c>
      <c r="E252" s="3"/>
      <c r="F252" s="17" t="s">
        <v>555</v>
      </c>
      <c r="G252" s="3" t="s">
        <v>1375</v>
      </c>
      <c r="H252" s="3" t="s">
        <v>423</v>
      </c>
      <c r="I252" s="3" t="s">
        <v>750</v>
      </c>
      <c r="J252" s="3" t="s">
        <v>1376</v>
      </c>
      <c r="K252" s="3">
        <v>5</v>
      </c>
      <c r="L252" s="3">
        <v>249.24450000000002</v>
      </c>
      <c r="N252" s="3" t="s">
        <v>45</v>
      </c>
      <c r="O252" s="2" t="s">
        <v>1377</v>
      </c>
      <c r="P252" s="2" t="s">
        <v>1378</v>
      </c>
      <c r="Q252" s="3" t="s">
        <v>31</v>
      </c>
      <c r="R252" s="3" t="s">
        <v>1379</v>
      </c>
      <c r="S252" s="9" t="str">
        <f t="shared" si="7"/>
        <v>[{MountingType,Surface Mount},{PackageCase,10MSOP}]</v>
      </c>
    </row>
    <row r="253" spans="1:19" ht="63.75">
      <c r="A253" s="3" t="s">
        <v>532</v>
      </c>
      <c r="B253" s="17"/>
      <c r="C253" s="17" t="s">
        <v>533</v>
      </c>
      <c r="D253" s="3" t="s">
        <v>1094</v>
      </c>
      <c r="E253" s="3"/>
      <c r="F253" s="17" t="s">
        <v>1095</v>
      </c>
      <c r="G253" s="3" t="s">
        <v>1380</v>
      </c>
      <c r="H253" s="4" t="s">
        <v>1097</v>
      </c>
      <c r="I253" s="3" t="s">
        <v>714</v>
      </c>
      <c r="J253" s="3" t="s">
        <v>1381</v>
      </c>
      <c r="K253" s="3">
        <v>1</v>
      </c>
      <c r="L253" s="3">
        <v>980.17500000000007</v>
      </c>
      <c r="N253" s="3" t="s">
        <v>1281</v>
      </c>
      <c r="O253" s="2" t="s">
        <v>1382</v>
      </c>
      <c r="P253" s="2" t="s">
        <v>1383</v>
      </c>
      <c r="Q253" s="3" t="s">
        <v>31</v>
      </c>
      <c r="R253" s="3"/>
      <c r="S253" s="9" t="str">
        <f>CONCATENATE("[","{","MountingType",",",Q253,"}","]")</f>
        <v>[{MountingType,Surface Mount}]</v>
      </c>
    </row>
    <row r="254" spans="1:19" ht="76.5">
      <c r="A254" s="3" t="s">
        <v>532</v>
      </c>
      <c r="B254" s="17"/>
      <c r="C254" s="17" t="s">
        <v>533</v>
      </c>
      <c r="D254" s="3" t="s">
        <v>554</v>
      </c>
      <c r="E254" s="3"/>
      <c r="F254" s="17" t="s">
        <v>555</v>
      </c>
      <c r="G254" s="3" t="s">
        <v>1384</v>
      </c>
      <c r="H254" s="3" t="s">
        <v>594</v>
      </c>
      <c r="I254" s="3" t="s">
        <v>1385</v>
      </c>
      <c r="J254" s="3" t="s">
        <v>1386</v>
      </c>
      <c r="K254" s="3">
        <v>1</v>
      </c>
      <c r="L254" s="3">
        <v>252.04500000000002</v>
      </c>
      <c r="N254" s="3"/>
      <c r="O254" s="2" t="s">
        <v>1387</v>
      </c>
      <c r="P254" s="2" t="s">
        <v>1388</v>
      </c>
      <c r="Q254" s="3" t="s">
        <v>31</v>
      </c>
      <c r="R254" s="3" t="s">
        <v>1127</v>
      </c>
      <c r="S254" s="9" t="str">
        <f t="shared" si="7"/>
        <v>[{MountingType,Surface Mount},{PackageCase,SOT-23-5}]</v>
      </c>
    </row>
    <row r="255" spans="1:19" ht="76.5">
      <c r="A255" s="3" t="s">
        <v>532</v>
      </c>
      <c r="B255" s="17"/>
      <c r="C255" s="17" t="s">
        <v>533</v>
      </c>
      <c r="D255" s="3" t="s">
        <v>554</v>
      </c>
      <c r="E255" s="3"/>
      <c r="F255" s="17" t="s">
        <v>555</v>
      </c>
      <c r="G255" s="3" t="s">
        <v>1389</v>
      </c>
      <c r="H255" s="3" t="s">
        <v>627</v>
      </c>
      <c r="I255" s="4" t="s">
        <v>1390</v>
      </c>
      <c r="J255" s="3" t="s">
        <v>1391</v>
      </c>
      <c r="K255" s="3">
        <v>1</v>
      </c>
      <c r="L255" s="3">
        <v>352.863</v>
      </c>
      <c r="N255" s="3"/>
      <c r="O255" s="2" t="s">
        <v>1392</v>
      </c>
      <c r="P255" s="2" t="s">
        <v>1393</v>
      </c>
      <c r="Q255" s="3" t="s">
        <v>31</v>
      </c>
      <c r="R255" s="3" t="s">
        <v>1394</v>
      </c>
      <c r="S255" s="9" t="str">
        <f t="shared" si="7"/>
        <v>[{MountingType,Surface Mount},{PackageCase,6-uDFN (1.5x1)}]</v>
      </c>
    </row>
    <row r="256" spans="1:19" ht="51">
      <c r="A256" s="3" t="s">
        <v>532</v>
      </c>
      <c r="B256" s="17"/>
      <c r="C256" s="17" t="s">
        <v>533</v>
      </c>
      <c r="D256" s="3" t="s">
        <v>544</v>
      </c>
      <c r="E256" s="3"/>
      <c r="F256" s="17" t="s">
        <v>545</v>
      </c>
      <c r="G256" s="3" t="s">
        <v>1395</v>
      </c>
      <c r="H256" s="3" t="s">
        <v>547</v>
      </c>
      <c r="I256" s="3" t="s">
        <v>784</v>
      </c>
      <c r="J256" s="3" t="s">
        <v>1396</v>
      </c>
      <c r="K256" s="3">
        <v>1</v>
      </c>
      <c r="L256" s="3">
        <v>39.207000000000008</v>
      </c>
      <c r="N256" s="3"/>
      <c r="O256" s="1" t="s">
        <v>1397</v>
      </c>
      <c r="P256" s="2" t="s">
        <v>1398</v>
      </c>
      <c r="Q256" s="3" t="s">
        <v>31</v>
      </c>
      <c r="R256" s="3" t="s">
        <v>1127</v>
      </c>
      <c r="S256" s="9" t="str">
        <f t="shared" si="7"/>
        <v>[{MountingType,Surface Mount},{PackageCase,SOT-23-5}]</v>
      </c>
    </row>
    <row r="257" spans="1:19" ht="76.5">
      <c r="A257" s="3" t="s">
        <v>532</v>
      </c>
      <c r="B257" s="17"/>
      <c r="C257" s="17" t="s">
        <v>533</v>
      </c>
      <c r="D257" s="3" t="s">
        <v>554</v>
      </c>
      <c r="E257" s="3"/>
      <c r="F257" s="17" t="s">
        <v>555</v>
      </c>
      <c r="G257" s="3" t="s">
        <v>1399</v>
      </c>
      <c r="H257" s="3" t="s">
        <v>423</v>
      </c>
      <c r="I257" s="3" t="s">
        <v>750</v>
      </c>
      <c r="J257" s="3" t="s">
        <v>1400</v>
      </c>
      <c r="K257" s="3">
        <v>1</v>
      </c>
      <c r="L257" s="3">
        <v>142.82550000000001</v>
      </c>
      <c r="N257" s="3"/>
      <c r="O257" s="2" t="s">
        <v>1401</v>
      </c>
      <c r="P257" s="2" t="s">
        <v>1402</v>
      </c>
      <c r="Q257" s="3" t="s">
        <v>31</v>
      </c>
      <c r="R257" s="3" t="s">
        <v>1081</v>
      </c>
      <c r="S257" s="9" t="str">
        <f t="shared" si="7"/>
        <v>[{MountingType,Surface Mount},{PackageCase,8-SOIC}]</v>
      </c>
    </row>
    <row r="258" spans="1:19" ht="76.5">
      <c r="A258" s="3" t="s">
        <v>532</v>
      </c>
      <c r="B258" s="17"/>
      <c r="C258" s="17" t="s">
        <v>533</v>
      </c>
      <c r="D258" s="3" t="s">
        <v>554</v>
      </c>
      <c r="E258" s="3"/>
      <c r="F258" s="17" t="s">
        <v>555</v>
      </c>
      <c r="G258" s="3" t="s">
        <v>1403</v>
      </c>
      <c r="H258" s="3" t="s">
        <v>594</v>
      </c>
      <c r="I258" s="3" t="s">
        <v>1404</v>
      </c>
      <c r="J258" s="3" t="s">
        <v>1405</v>
      </c>
      <c r="K258" s="3">
        <v>2</v>
      </c>
      <c r="L258" s="3">
        <v>156.82800000000003</v>
      </c>
      <c r="N258" s="3"/>
      <c r="O258" s="2" t="s">
        <v>1406</v>
      </c>
      <c r="P258" s="2" t="s">
        <v>1407</v>
      </c>
      <c r="Q258" s="3" t="s">
        <v>31</v>
      </c>
      <c r="R258" s="3" t="s">
        <v>1408</v>
      </c>
      <c r="S258" s="9" t="str">
        <f t="shared" si="7"/>
        <v>[{MountingType,Surface Mount},{PackageCase,4-TMLF}]</v>
      </c>
    </row>
    <row r="259" spans="1:19" ht="76.5">
      <c r="A259" s="3" t="s">
        <v>532</v>
      </c>
      <c r="B259" s="17"/>
      <c r="C259" s="17" t="s">
        <v>533</v>
      </c>
      <c r="D259" s="3" t="s">
        <v>554</v>
      </c>
      <c r="E259" s="3"/>
      <c r="F259" s="17" t="s">
        <v>555</v>
      </c>
      <c r="G259" s="3" t="s">
        <v>1409</v>
      </c>
      <c r="H259" s="3" t="s">
        <v>547</v>
      </c>
      <c r="I259" s="3" t="s">
        <v>750</v>
      </c>
      <c r="J259" s="3" t="s">
        <v>1410</v>
      </c>
      <c r="K259" s="3">
        <v>1</v>
      </c>
      <c r="L259" s="3">
        <v>1624.29</v>
      </c>
      <c r="N259" s="3"/>
      <c r="O259" s="2" t="s">
        <v>1411</v>
      </c>
      <c r="P259" s="2" t="s">
        <v>1412</v>
      </c>
      <c r="Q259" s="3" t="s">
        <v>31</v>
      </c>
      <c r="R259" s="3" t="s">
        <v>1413</v>
      </c>
      <c r="S259" s="9" t="str">
        <f t="shared" si="7"/>
        <v>[{MountingType,Surface Mount},{PackageCase,14-VQFN (3.5x3.5)}]</v>
      </c>
    </row>
    <row r="260" spans="1:19" ht="63.75">
      <c r="A260" s="3" t="s">
        <v>327</v>
      </c>
      <c r="B260" s="4"/>
      <c r="C260" s="4" t="s">
        <v>328</v>
      </c>
      <c r="D260" s="3" t="s">
        <v>652</v>
      </c>
      <c r="E260" s="3"/>
      <c r="F260" s="4" t="s">
        <v>653</v>
      </c>
      <c r="G260" s="3" t="s">
        <v>1414</v>
      </c>
      <c r="H260" s="3" t="s">
        <v>1415</v>
      </c>
      <c r="I260" s="3" t="s">
        <v>1416</v>
      </c>
      <c r="J260" s="3" t="s">
        <v>1417</v>
      </c>
      <c r="K260" s="3">
        <v>18</v>
      </c>
      <c r="L260" s="3">
        <v>257.64600000000002</v>
      </c>
      <c r="N260" s="3"/>
      <c r="O260" s="2" t="s">
        <v>1418</v>
      </c>
      <c r="P260" s="2" t="s">
        <v>1419</v>
      </c>
      <c r="Q260" s="3" t="s">
        <v>31</v>
      </c>
      <c r="R260" s="3" t="s">
        <v>1420</v>
      </c>
      <c r="S260" s="9" t="str">
        <f t="shared" si="7"/>
        <v>[{MountingType,Surface Mount},{PackageCase,SOP-4_1.27}]</v>
      </c>
    </row>
    <row r="261" spans="1:19">
      <c r="A261" s="3" t="s">
        <v>1421</v>
      </c>
      <c r="B261" s="3"/>
      <c r="C261" s="3" t="s">
        <v>1422</v>
      </c>
      <c r="D261" s="3" t="s">
        <v>1423</v>
      </c>
      <c r="E261" s="3"/>
      <c r="F261" s="3" t="s">
        <v>1424</v>
      </c>
      <c r="G261" s="3" t="s">
        <v>1425</v>
      </c>
      <c r="H261" s="3" t="s">
        <v>1426</v>
      </c>
      <c r="I261" s="3" t="s">
        <v>1427</v>
      </c>
      <c r="J261" s="3" t="s">
        <v>1428</v>
      </c>
      <c r="K261" s="3">
        <v>19</v>
      </c>
      <c r="L261" s="3">
        <v>268.84800000000001</v>
      </c>
      <c r="N261" s="3" t="s">
        <v>1429</v>
      </c>
      <c r="O261" s="2" t="s">
        <v>1430</v>
      </c>
      <c r="P261" s="2" t="s">
        <v>1431</v>
      </c>
      <c r="Q261" s="3" t="s">
        <v>31</v>
      </c>
      <c r="R261" s="3" t="s">
        <v>1432</v>
      </c>
      <c r="S261" s="9" t="str">
        <f t="shared" si="7"/>
        <v>[{MountingType,Surface Mount},{PackageCase,1411 (3528 Metric) 1210}]</v>
      </c>
    </row>
    <row r="262" spans="1:19" ht="63.75">
      <c r="A262" s="3" t="s">
        <v>532</v>
      </c>
      <c r="B262" s="17"/>
      <c r="C262" s="17" t="s">
        <v>533</v>
      </c>
      <c r="D262" s="3" t="s">
        <v>1094</v>
      </c>
      <c r="E262" s="3"/>
      <c r="F262" s="17" t="s">
        <v>1095</v>
      </c>
      <c r="G262" s="4" t="s">
        <v>1433</v>
      </c>
      <c r="H262" s="3" t="s">
        <v>594</v>
      </c>
      <c r="I262" s="3" t="s">
        <v>714</v>
      </c>
      <c r="J262" s="3" t="s">
        <v>1434</v>
      </c>
      <c r="K262" s="3">
        <v>2</v>
      </c>
      <c r="L262" s="3">
        <v>6362.7359999999999</v>
      </c>
      <c r="N262" s="3"/>
      <c r="O262" s="2" t="s">
        <v>1435</v>
      </c>
      <c r="P262" s="2" t="s">
        <v>1436</v>
      </c>
      <c r="Q262" s="3" t="s">
        <v>31</v>
      </c>
      <c r="R262" s="3" t="s">
        <v>1437</v>
      </c>
      <c r="S262" s="9" t="str">
        <f t="shared" si="7"/>
        <v>[{MountingType,Surface Mount},{PackageCase,24-SMD Module}]</v>
      </c>
    </row>
    <row r="263" spans="1:19">
      <c r="A263" s="3" t="s">
        <v>1421</v>
      </c>
      <c r="B263" s="3"/>
      <c r="C263" s="3" t="s">
        <v>1422</v>
      </c>
      <c r="D263" s="3" t="s">
        <v>1438</v>
      </c>
      <c r="E263" s="3"/>
      <c r="F263" s="3" t="s">
        <v>1439</v>
      </c>
      <c r="G263" s="3" t="s">
        <v>1440</v>
      </c>
      <c r="H263" s="3" t="s">
        <v>1441</v>
      </c>
      <c r="I263" s="4" t="s">
        <v>1442</v>
      </c>
      <c r="J263" s="3" t="s">
        <v>1443</v>
      </c>
      <c r="K263" s="3">
        <v>44</v>
      </c>
      <c r="L263" s="4">
        <v>28.005000000000003</v>
      </c>
      <c r="M263" s="3" t="s">
        <v>52</v>
      </c>
      <c r="N263" s="4" t="s">
        <v>1444</v>
      </c>
      <c r="O263" s="15" t="s">
        <v>1445</v>
      </c>
      <c r="P263" s="15" t="s">
        <v>1446</v>
      </c>
      <c r="Q263" s="3" t="s">
        <v>31</v>
      </c>
      <c r="R263" s="3" t="s">
        <v>1447</v>
      </c>
      <c r="S263" s="9" t="str">
        <f t="shared" si="7"/>
        <v>[{MountingType,Surface Mount},{PackageCase,IND 0603 }]</v>
      </c>
    </row>
    <row r="264" spans="1:19">
      <c r="A264" s="3" t="s">
        <v>1421</v>
      </c>
      <c r="B264" s="3"/>
      <c r="C264" s="3" t="s">
        <v>1422</v>
      </c>
      <c r="D264" s="3" t="s">
        <v>1438</v>
      </c>
      <c r="E264" s="3"/>
      <c r="F264" s="3" t="s">
        <v>1439</v>
      </c>
      <c r="G264" s="3" t="s">
        <v>1448</v>
      </c>
      <c r="H264" s="3" t="s">
        <v>1449</v>
      </c>
      <c r="I264" s="4" t="s">
        <v>1442</v>
      </c>
      <c r="J264" s="3" t="s">
        <v>1450</v>
      </c>
      <c r="K264" s="3">
        <v>8</v>
      </c>
      <c r="L264" s="4">
        <v>33.606000000000002</v>
      </c>
      <c r="M264" s="3" t="s">
        <v>52</v>
      </c>
      <c r="N264" s="3" t="s">
        <v>1451</v>
      </c>
      <c r="O264" s="15" t="s">
        <v>1452</v>
      </c>
      <c r="P264" s="15" t="s">
        <v>1453</v>
      </c>
      <c r="Q264" s="3" t="s">
        <v>31</v>
      </c>
      <c r="R264" s="3" t="s">
        <v>1447</v>
      </c>
      <c r="S264" s="9" t="str">
        <f t="shared" si="7"/>
        <v>[{MountingType,Surface Mount},{PackageCase,IND 0603 }]</v>
      </c>
    </row>
    <row r="265" spans="1:19">
      <c r="A265" s="3" t="s">
        <v>1421</v>
      </c>
      <c r="B265" s="3"/>
      <c r="C265" s="3" t="s">
        <v>1422</v>
      </c>
      <c r="D265" s="3" t="s">
        <v>1438</v>
      </c>
      <c r="E265" s="3"/>
      <c r="F265" s="3" t="s">
        <v>1454</v>
      </c>
      <c r="G265" s="3" t="s">
        <v>1455</v>
      </c>
      <c r="H265" s="3" t="s">
        <v>1456</v>
      </c>
      <c r="I265" s="4" t="s">
        <v>1442</v>
      </c>
      <c r="J265" s="3" t="s">
        <v>1457</v>
      </c>
      <c r="K265" s="3">
        <v>45</v>
      </c>
      <c r="L265" s="3">
        <v>33.606000000000002</v>
      </c>
      <c r="M265" s="3" t="s">
        <v>52</v>
      </c>
      <c r="N265" s="3" t="s">
        <v>1458</v>
      </c>
      <c r="O265" s="15" t="s">
        <v>1459</v>
      </c>
      <c r="P265" s="15" t="s">
        <v>1460</v>
      </c>
      <c r="Q265" s="3" t="s">
        <v>31</v>
      </c>
      <c r="R265" s="3" t="s">
        <v>1447</v>
      </c>
      <c r="S265" s="9" t="str">
        <f t="shared" si="7"/>
        <v>[{MountingType,Surface Mount},{PackageCase,IND 0603 }]</v>
      </c>
    </row>
    <row r="266" spans="1:19">
      <c r="A266" s="3" t="s">
        <v>1421</v>
      </c>
      <c r="B266" s="3"/>
      <c r="C266" s="3" t="s">
        <v>1422</v>
      </c>
      <c r="D266" s="3" t="s">
        <v>1438</v>
      </c>
      <c r="E266" s="3"/>
      <c r="F266" s="3" t="s">
        <v>1454</v>
      </c>
      <c r="G266" s="3" t="s">
        <v>1461</v>
      </c>
      <c r="H266" s="3" t="s">
        <v>1456</v>
      </c>
      <c r="I266" s="4" t="s">
        <v>1442</v>
      </c>
      <c r="J266" s="3" t="s">
        <v>1462</v>
      </c>
      <c r="K266" s="3">
        <v>79</v>
      </c>
      <c r="L266" s="3">
        <v>2.8005</v>
      </c>
      <c r="M266" s="3" t="s">
        <v>52</v>
      </c>
      <c r="N266" s="3" t="s">
        <v>1463</v>
      </c>
      <c r="O266" s="15" t="s">
        <v>1464</v>
      </c>
      <c r="P266" s="15" t="s">
        <v>1465</v>
      </c>
      <c r="Q266" s="3" t="s">
        <v>31</v>
      </c>
      <c r="R266" s="3" t="s">
        <v>1447</v>
      </c>
      <c r="S266" s="9" t="str">
        <f t="shared" si="7"/>
        <v>[{MountingType,Surface Mount},{PackageCase,IND 0603 }]</v>
      </c>
    </row>
    <row r="267" spans="1:19">
      <c r="A267" s="3" t="s">
        <v>1421</v>
      </c>
      <c r="B267" s="3"/>
      <c r="C267" s="3" t="s">
        <v>1422</v>
      </c>
      <c r="D267" s="3" t="s">
        <v>1466</v>
      </c>
      <c r="E267" s="3"/>
      <c r="F267" s="3" t="s">
        <v>1467</v>
      </c>
      <c r="G267" s="3" t="s">
        <v>1468</v>
      </c>
      <c r="H267" s="3" t="s">
        <v>1449</v>
      </c>
      <c r="I267" s="3" t="s">
        <v>1469</v>
      </c>
      <c r="J267" s="3" t="s">
        <v>1470</v>
      </c>
      <c r="K267" s="3">
        <v>1</v>
      </c>
      <c r="L267" s="3">
        <v>190.43400000000003</v>
      </c>
      <c r="M267" s="3" t="s">
        <v>52</v>
      </c>
      <c r="N267" s="3" t="s">
        <v>1471</v>
      </c>
      <c r="O267" s="15" t="s">
        <v>1472</v>
      </c>
      <c r="P267" s="15" t="s">
        <v>1473</v>
      </c>
      <c r="Q267" s="3" t="s">
        <v>31</v>
      </c>
      <c r="R267" s="3" t="s">
        <v>1474</v>
      </c>
      <c r="S267" s="9" t="str">
        <f t="shared" si="7"/>
        <v>[{MountingType,Surface Mount},{PackageCase,2-SMD J-Lead}]</v>
      </c>
    </row>
    <row r="268" spans="1:19">
      <c r="A268" s="3" t="s">
        <v>1421</v>
      </c>
      <c r="B268" s="3"/>
      <c r="C268" s="3" t="s">
        <v>1422</v>
      </c>
      <c r="D268" s="3" t="s">
        <v>1466</v>
      </c>
      <c r="E268" s="3"/>
      <c r="F268" s="3" t="s">
        <v>1467</v>
      </c>
      <c r="G268" s="3" t="s">
        <v>1475</v>
      </c>
      <c r="H268" s="3" t="s">
        <v>1441</v>
      </c>
      <c r="I268" s="3" t="s">
        <v>1469</v>
      </c>
      <c r="J268" s="3" t="s">
        <v>1476</v>
      </c>
      <c r="K268" s="3">
        <v>10</v>
      </c>
      <c r="L268" s="3">
        <v>142.82550000000001</v>
      </c>
      <c r="M268" s="3" t="s">
        <v>52</v>
      </c>
      <c r="N268" s="3" t="s">
        <v>1477</v>
      </c>
      <c r="O268" s="15" t="s">
        <v>1478</v>
      </c>
      <c r="P268" s="15" t="s">
        <v>1479</v>
      </c>
      <c r="Q268" s="3" t="s">
        <v>31</v>
      </c>
      <c r="R268" s="3" t="s">
        <v>1480</v>
      </c>
      <c r="S268" s="9" t="str">
        <f t="shared" si="7"/>
        <v>[{MountingType,Surface Mount},{PackageCase,Nonstandard}]</v>
      </c>
    </row>
    <row r="269" spans="1:19">
      <c r="A269" s="3" t="s">
        <v>1421</v>
      </c>
      <c r="B269" s="3"/>
      <c r="C269" s="3" t="s">
        <v>1422</v>
      </c>
      <c r="D269" s="3" t="s">
        <v>1466</v>
      </c>
      <c r="E269" s="3"/>
      <c r="F269" s="3" t="s">
        <v>1467</v>
      </c>
      <c r="G269" s="3" t="s">
        <v>1481</v>
      </c>
      <c r="H269" s="3" t="s">
        <v>1482</v>
      </c>
      <c r="I269" s="3" t="s">
        <v>1469</v>
      </c>
      <c r="J269" s="3" t="s">
        <v>1483</v>
      </c>
      <c r="K269" s="3">
        <v>6</v>
      </c>
      <c r="L269" s="3">
        <v>999.77850000000001</v>
      </c>
      <c r="M269" s="3" t="s">
        <v>52</v>
      </c>
      <c r="N269" s="3" t="s">
        <v>45</v>
      </c>
      <c r="O269" s="15" t="s">
        <v>1484</v>
      </c>
      <c r="P269" s="15" t="s">
        <v>1485</v>
      </c>
      <c r="Q269" s="3" t="s">
        <v>31</v>
      </c>
      <c r="R269" s="3" t="s">
        <v>1480</v>
      </c>
      <c r="S269" s="9" t="str">
        <f t="shared" si="7"/>
        <v>[{MountingType,Surface Mount},{PackageCase,Nonstandard}]</v>
      </c>
    </row>
    <row r="270" spans="1:19">
      <c r="A270" s="3" t="s">
        <v>1421</v>
      </c>
      <c r="B270" s="3"/>
      <c r="C270" s="3" t="s">
        <v>1422</v>
      </c>
      <c r="D270" s="3" t="s">
        <v>1466</v>
      </c>
      <c r="E270" s="3"/>
      <c r="F270" s="3" t="s">
        <v>1467</v>
      </c>
      <c r="G270" s="3" t="s">
        <v>1486</v>
      </c>
      <c r="H270" s="3" t="s">
        <v>1441</v>
      </c>
      <c r="I270" s="3" t="s">
        <v>1469</v>
      </c>
      <c r="J270" s="3" t="s">
        <v>1487</v>
      </c>
      <c r="K270" s="3">
        <v>3</v>
      </c>
      <c r="L270" s="3">
        <v>190.43400000000003</v>
      </c>
      <c r="M270" s="3" t="s">
        <v>52</v>
      </c>
      <c r="N270" s="3" t="s">
        <v>1488</v>
      </c>
      <c r="O270" s="15" t="s">
        <v>1489</v>
      </c>
      <c r="P270" s="15" t="s">
        <v>1490</v>
      </c>
      <c r="Q270" s="3" t="s">
        <v>31</v>
      </c>
      <c r="R270" s="3" t="s">
        <v>1480</v>
      </c>
      <c r="S270" s="9" t="str">
        <f t="shared" si="7"/>
        <v>[{MountingType,Surface Mount},{PackageCase,Nonstandard}]</v>
      </c>
    </row>
    <row r="271" spans="1:19">
      <c r="A271" s="3" t="s">
        <v>1421</v>
      </c>
      <c r="B271" s="3"/>
      <c r="C271" s="3" t="s">
        <v>1422</v>
      </c>
      <c r="D271" s="3" t="s">
        <v>1466</v>
      </c>
      <c r="E271" s="3"/>
      <c r="F271" s="3" t="s">
        <v>1467</v>
      </c>
      <c r="G271" s="3" t="s">
        <v>1491</v>
      </c>
      <c r="H271" s="3" t="s">
        <v>1441</v>
      </c>
      <c r="I271" s="3" t="s">
        <v>1469</v>
      </c>
      <c r="J271" s="3" t="s">
        <v>1492</v>
      </c>
      <c r="K271" s="3">
        <v>6</v>
      </c>
      <c r="L271" s="3">
        <v>187.63350000000003</v>
      </c>
      <c r="M271" s="3" t="s">
        <v>52</v>
      </c>
      <c r="N271" s="3" t="s">
        <v>1488</v>
      </c>
      <c r="O271" s="15" t="s">
        <v>1493</v>
      </c>
      <c r="P271" s="15" t="s">
        <v>1490</v>
      </c>
      <c r="Q271" s="3" t="s">
        <v>31</v>
      </c>
      <c r="R271" s="3" t="s">
        <v>1480</v>
      </c>
      <c r="S271" s="9" t="str">
        <f t="shared" si="7"/>
        <v>[{MountingType,Surface Mount},{PackageCase,Nonstandard}]</v>
      </c>
    </row>
    <row r="272" spans="1:19">
      <c r="A272" s="3" t="s">
        <v>1421</v>
      </c>
      <c r="B272" s="3"/>
      <c r="C272" s="3" t="s">
        <v>1422</v>
      </c>
      <c r="D272" s="3" t="s">
        <v>1466</v>
      </c>
      <c r="E272" s="3"/>
      <c r="F272" s="3" t="s">
        <v>1467</v>
      </c>
      <c r="G272" s="3" t="s">
        <v>1494</v>
      </c>
      <c r="H272" s="3" t="s">
        <v>1441</v>
      </c>
      <c r="I272" s="3" t="s">
        <v>1469</v>
      </c>
      <c r="J272" s="3" t="s">
        <v>1495</v>
      </c>
      <c r="K272" s="3">
        <v>36</v>
      </c>
      <c r="L272" s="3">
        <v>14.002500000000001</v>
      </c>
      <c r="M272" s="3" t="s">
        <v>52</v>
      </c>
      <c r="N272" s="3" t="s">
        <v>1496</v>
      </c>
      <c r="O272" s="15" t="s">
        <v>1497</v>
      </c>
      <c r="P272" s="15" t="s">
        <v>1498</v>
      </c>
      <c r="Q272" s="3" t="s">
        <v>31</v>
      </c>
      <c r="R272" s="3" t="s">
        <v>1499</v>
      </c>
      <c r="S272" s="9" t="str">
        <f t="shared" si="7"/>
        <v>[{MountingType,Surface Mount},{PackageCase,0402 (1005 Metric)}]</v>
      </c>
    </row>
    <row r="273" spans="1:19">
      <c r="A273" s="3" t="s">
        <v>1421</v>
      </c>
      <c r="B273" s="3"/>
      <c r="C273" s="3" t="s">
        <v>1422</v>
      </c>
      <c r="D273" s="3" t="s">
        <v>1466</v>
      </c>
      <c r="E273" s="3"/>
      <c r="F273" s="3" t="s">
        <v>1467</v>
      </c>
      <c r="G273" s="3" t="s">
        <v>1500</v>
      </c>
      <c r="H273" s="3" t="s">
        <v>1501</v>
      </c>
      <c r="I273" s="3" t="s">
        <v>1469</v>
      </c>
      <c r="J273" s="3" t="s">
        <v>1476</v>
      </c>
      <c r="K273" s="3">
        <v>10</v>
      </c>
      <c r="L273" s="3">
        <v>16.803000000000001</v>
      </c>
      <c r="M273" s="3" t="s">
        <v>52</v>
      </c>
      <c r="N273" s="3" t="s">
        <v>1502</v>
      </c>
      <c r="O273" s="15" t="s">
        <v>1503</v>
      </c>
      <c r="P273" s="15" t="s">
        <v>1504</v>
      </c>
      <c r="Q273" s="3" t="s">
        <v>31</v>
      </c>
      <c r="R273" s="3" t="s">
        <v>412</v>
      </c>
      <c r="S273" s="9" t="str">
        <f t="shared" si="7"/>
        <v>[{MountingType,Surface Mount},{PackageCase,SMD}]</v>
      </c>
    </row>
    <row r="274" spans="1:19">
      <c r="A274" s="3" t="s">
        <v>1421</v>
      </c>
      <c r="B274" s="3"/>
      <c r="C274" s="3" t="s">
        <v>1422</v>
      </c>
      <c r="D274" s="3" t="s">
        <v>1466</v>
      </c>
      <c r="E274" s="3"/>
      <c r="F274" s="3" t="s">
        <v>1467</v>
      </c>
      <c r="G274" s="3" t="s">
        <v>1505</v>
      </c>
      <c r="H274" s="3" t="s">
        <v>1506</v>
      </c>
      <c r="I274" s="3" t="s">
        <v>1469</v>
      </c>
      <c r="J274" s="3" t="s">
        <v>1476</v>
      </c>
      <c r="K274" s="3">
        <v>3</v>
      </c>
      <c r="L274" s="3">
        <v>58.810499999999998</v>
      </c>
      <c r="M274" s="3" t="s">
        <v>52</v>
      </c>
      <c r="N274" s="3" t="s">
        <v>45</v>
      </c>
      <c r="O274" s="15" t="s">
        <v>1507</v>
      </c>
      <c r="P274" s="15" t="s">
        <v>1508</v>
      </c>
      <c r="Q274" s="3" t="s">
        <v>31</v>
      </c>
      <c r="R274" s="3" t="s">
        <v>412</v>
      </c>
      <c r="S274" s="9" t="str">
        <f t="shared" si="7"/>
        <v>[{MountingType,Surface Mount},{PackageCase,SMD}]</v>
      </c>
    </row>
    <row r="275" spans="1:19">
      <c r="A275" s="3" t="s">
        <v>1421</v>
      </c>
      <c r="B275" s="3"/>
      <c r="C275" s="3" t="s">
        <v>1422</v>
      </c>
      <c r="D275" s="3" t="s">
        <v>1466</v>
      </c>
      <c r="E275" s="3"/>
      <c r="F275" s="3" t="s">
        <v>1467</v>
      </c>
      <c r="G275" s="3" t="s">
        <v>1509</v>
      </c>
      <c r="H275" s="3" t="s">
        <v>1510</v>
      </c>
      <c r="I275" s="3" t="s">
        <v>1469</v>
      </c>
      <c r="J275" s="3" t="s">
        <v>1476</v>
      </c>
      <c r="K275" s="3">
        <v>5</v>
      </c>
      <c r="L275" s="3">
        <v>11.202</v>
      </c>
      <c r="M275" s="3" t="s">
        <v>52</v>
      </c>
      <c r="N275" s="3" t="s">
        <v>1511</v>
      </c>
      <c r="O275" s="15" t="s">
        <v>1512</v>
      </c>
      <c r="P275" s="15" t="s">
        <v>1513</v>
      </c>
      <c r="Q275" s="3" t="s">
        <v>31</v>
      </c>
      <c r="R275" s="3" t="s">
        <v>1514</v>
      </c>
      <c r="S275" s="9" t="str">
        <f t="shared" si="7"/>
        <v>[{MountingType,Surface Mount},{PackageCase,SMD 6x6mm}]</v>
      </c>
    </row>
    <row r="276" spans="1:19">
      <c r="A276" s="3" t="s">
        <v>1421</v>
      </c>
      <c r="B276" s="3"/>
      <c r="C276" s="3" t="s">
        <v>1422</v>
      </c>
      <c r="D276" s="3" t="s">
        <v>1466</v>
      </c>
      <c r="E276" s="3"/>
      <c r="F276" s="3" t="s">
        <v>1467</v>
      </c>
      <c r="G276" s="3" t="s">
        <v>1515</v>
      </c>
      <c r="H276" s="3" t="s">
        <v>1516</v>
      </c>
      <c r="I276" s="3" t="s">
        <v>1469</v>
      </c>
      <c r="J276" s="3" t="s">
        <v>1476</v>
      </c>
      <c r="K276" s="3">
        <v>1</v>
      </c>
      <c r="L276" s="3">
        <v>53.209500000000006</v>
      </c>
      <c r="M276" s="3" t="s">
        <v>52</v>
      </c>
      <c r="N276" s="3" t="s">
        <v>1517</v>
      </c>
      <c r="O276" s="15" t="s">
        <v>1518</v>
      </c>
      <c r="P276" s="15" t="s">
        <v>1519</v>
      </c>
      <c r="Q276" s="3" t="s">
        <v>31</v>
      </c>
      <c r="R276" s="3" t="s">
        <v>412</v>
      </c>
      <c r="S276" s="9" t="str">
        <f t="shared" si="7"/>
        <v>[{MountingType,Surface Mount},{PackageCase,SMD}]</v>
      </c>
    </row>
    <row r="277" spans="1:19">
      <c r="A277" s="3" t="s">
        <v>1421</v>
      </c>
      <c r="B277" s="3"/>
      <c r="C277" s="3" t="s">
        <v>1422</v>
      </c>
      <c r="D277" s="3" t="s">
        <v>1466</v>
      </c>
      <c r="E277" s="3"/>
      <c r="F277" s="3" t="s">
        <v>1467</v>
      </c>
      <c r="G277" s="3" t="s">
        <v>1520</v>
      </c>
      <c r="H277" s="3" t="s">
        <v>1521</v>
      </c>
      <c r="I277" s="3" t="s">
        <v>1469</v>
      </c>
      <c r="J277" s="3" t="s">
        <v>1476</v>
      </c>
      <c r="K277" s="3">
        <v>4</v>
      </c>
      <c r="L277" s="3">
        <v>436.87800000000004</v>
      </c>
      <c r="M277" s="3" t="s">
        <v>52</v>
      </c>
      <c r="N277" s="4" t="s">
        <v>1522</v>
      </c>
      <c r="O277" s="15" t="s">
        <v>1523</v>
      </c>
      <c r="P277" s="15" t="s">
        <v>1524</v>
      </c>
      <c r="Q277" s="3" t="s">
        <v>31</v>
      </c>
      <c r="R277" s="3" t="s">
        <v>1480</v>
      </c>
      <c r="S277" s="9" t="str">
        <f t="shared" si="7"/>
        <v>[{MountingType,Surface Mount},{PackageCase,Nonstandard}]</v>
      </c>
    </row>
    <row r="278" spans="1:19">
      <c r="A278" s="3" t="s">
        <v>1421</v>
      </c>
      <c r="B278" s="3"/>
      <c r="C278" s="3" t="s">
        <v>1422</v>
      </c>
      <c r="D278" s="3" t="s">
        <v>1438</v>
      </c>
      <c r="E278" s="3"/>
      <c r="F278" s="3" t="s">
        <v>1454</v>
      </c>
      <c r="G278" s="3" t="s">
        <v>1525</v>
      </c>
      <c r="H278" s="3" t="s">
        <v>1449</v>
      </c>
      <c r="I278" s="4" t="s">
        <v>1442</v>
      </c>
      <c r="J278" s="3" t="s">
        <v>1526</v>
      </c>
      <c r="K278" s="3">
        <v>13</v>
      </c>
      <c r="L278" s="3">
        <v>53.209500000000006</v>
      </c>
      <c r="M278" s="3" t="s">
        <v>52</v>
      </c>
      <c r="N278" s="3" t="s">
        <v>1527</v>
      </c>
      <c r="O278" s="15" t="s">
        <v>1528</v>
      </c>
      <c r="P278" s="15" t="s">
        <v>1529</v>
      </c>
      <c r="Q278" s="3" t="s">
        <v>31</v>
      </c>
      <c r="R278" s="3" t="s">
        <v>1499</v>
      </c>
      <c r="S278" s="9" t="str">
        <f t="shared" si="7"/>
        <v>[{MountingType,Surface Mount},{PackageCase,0402 (1005 Metric)}]</v>
      </c>
    </row>
    <row r="279" spans="1:19">
      <c r="A279" s="3" t="s">
        <v>1421</v>
      </c>
      <c r="B279" s="3"/>
      <c r="C279" s="3" t="s">
        <v>1422</v>
      </c>
      <c r="D279" s="3" t="s">
        <v>1466</v>
      </c>
      <c r="E279" s="3"/>
      <c r="F279" s="3" t="s">
        <v>1467</v>
      </c>
      <c r="G279" s="3" t="s">
        <v>1530</v>
      </c>
      <c r="H279" s="3" t="s">
        <v>1449</v>
      </c>
      <c r="I279" s="3" t="s">
        <v>1469</v>
      </c>
      <c r="J279" s="3" t="s">
        <v>1476</v>
      </c>
      <c r="K279" s="3">
        <v>1</v>
      </c>
      <c r="L279" s="3">
        <v>296.85300000000001</v>
      </c>
      <c r="M279" s="3" t="s">
        <v>52</v>
      </c>
      <c r="N279" s="3" t="s">
        <v>1531</v>
      </c>
      <c r="O279" s="15" t="s">
        <v>1532</v>
      </c>
      <c r="P279" s="15" t="s">
        <v>1533</v>
      </c>
      <c r="Q279" s="3" t="s">
        <v>31</v>
      </c>
      <c r="R279" s="3" t="s">
        <v>1480</v>
      </c>
      <c r="S279" s="9" t="str">
        <f t="shared" si="7"/>
        <v>[{MountingType,Surface Mount},{PackageCase,Nonstandard}]</v>
      </c>
    </row>
    <row r="280" spans="1:19">
      <c r="A280" s="3" t="s">
        <v>1421</v>
      </c>
      <c r="B280" s="3"/>
      <c r="C280" s="3" t="s">
        <v>1422</v>
      </c>
      <c r="D280" s="3" t="s">
        <v>1466</v>
      </c>
      <c r="E280" s="3"/>
      <c r="F280" s="3" t="s">
        <v>1467</v>
      </c>
      <c r="G280" s="3" t="s">
        <v>1534</v>
      </c>
      <c r="H280" s="3" t="s">
        <v>1535</v>
      </c>
      <c r="I280" s="3" t="s">
        <v>1469</v>
      </c>
      <c r="J280" s="3" t="s">
        <v>1476</v>
      </c>
      <c r="K280" s="3">
        <v>5</v>
      </c>
      <c r="L280" s="3">
        <v>22.404</v>
      </c>
      <c r="M280" s="3" t="s">
        <v>52</v>
      </c>
      <c r="N280" s="3" t="s">
        <v>1536</v>
      </c>
      <c r="O280" s="15" t="s">
        <v>1537</v>
      </c>
      <c r="P280" s="15" t="s">
        <v>1538</v>
      </c>
      <c r="Q280" s="3" t="s">
        <v>31</v>
      </c>
      <c r="R280" s="3" t="s">
        <v>412</v>
      </c>
      <c r="S280" s="9" t="str">
        <f t="shared" si="7"/>
        <v>[{MountingType,Surface Mount},{PackageCase,SMD}]</v>
      </c>
    </row>
    <row r="281" spans="1:19">
      <c r="A281" s="3" t="s">
        <v>1421</v>
      </c>
      <c r="B281" s="3"/>
      <c r="C281" s="3" t="s">
        <v>1422</v>
      </c>
      <c r="D281" s="3" t="s">
        <v>1466</v>
      </c>
      <c r="E281" s="3"/>
      <c r="F281" s="3" t="s">
        <v>1467</v>
      </c>
      <c r="G281" s="4" t="s">
        <v>1539</v>
      </c>
      <c r="H281" s="3" t="s">
        <v>1540</v>
      </c>
      <c r="I281" s="3" t="s">
        <v>1469</v>
      </c>
      <c r="J281" s="3" t="s">
        <v>1476</v>
      </c>
      <c r="K281" s="3">
        <v>1</v>
      </c>
      <c r="L281" s="3">
        <v>81.214500000000001</v>
      </c>
      <c r="M281" s="3" t="s">
        <v>52</v>
      </c>
      <c r="N281" s="3" t="s">
        <v>1541</v>
      </c>
      <c r="O281" s="15" t="s">
        <v>1542</v>
      </c>
      <c r="P281" s="15" t="s">
        <v>1543</v>
      </c>
      <c r="Q281" s="3" t="s">
        <v>31</v>
      </c>
      <c r="R281" s="3" t="s">
        <v>412</v>
      </c>
      <c r="S281" s="9" t="str">
        <f t="shared" si="7"/>
        <v>[{MountingType,Surface Mount},{PackageCase,SMD}]</v>
      </c>
    </row>
    <row r="282" spans="1:19">
      <c r="A282" s="3" t="s">
        <v>1421</v>
      </c>
      <c r="B282" s="3"/>
      <c r="C282" s="3" t="s">
        <v>1422</v>
      </c>
      <c r="D282" s="3" t="s">
        <v>1466</v>
      </c>
      <c r="E282" s="3"/>
      <c r="F282" s="3" t="s">
        <v>1467</v>
      </c>
      <c r="G282" s="3" t="s">
        <v>1544</v>
      </c>
      <c r="H282" s="3" t="s">
        <v>1545</v>
      </c>
      <c r="I282" s="3" t="s">
        <v>1469</v>
      </c>
      <c r="J282" s="3" t="s">
        <v>1476</v>
      </c>
      <c r="K282" s="3">
        <v>5</v>
      </c>
      <c r="L282" s="3">
        <v>11.202</v>
      </c>
      <c r="M282" s="3" t="s">
        <v>52</v>
      </c>
      <c r="N282" s="3" t="s">
        <v>1546</v>
      </c>
      <c r="O282" s="15" t="s">
        <v>1547</v>
      </c>
      <c r="P282" s="15" t="s">
        <v>1548</v>
      </c>
      <c r="Q282" s="3" t="s">
        <v>31</v>
      </c>
      <c r="R282" s="3" t="s">
        <v>412</v>
      </c>
      <c r="S282" s="9" t="str">
        <f t="shared" si="7"/>
        <v>[{MountingType,Surface Mount},{PackageCase,SMD}]</v>
      </c>
    </row>
    <row r="283" spans="1:19">
      <c r="A283" s="3" t="s">
        <v>1421</v>
      </c>
      <c r="B283" s="3"/>
      <c r="C283" s="3" t="s">
        <v>1422</v>
      </c>
      <c r="D283" s="3" t="s">
        <v>1466</v>
      </c>
      <c r="E283" s="3"/>
      <c r="F283" s="3" t="s">
        <v>1467</v>
      </c>
      <c r="G283" s="3" t="s">
        <v>1549</v>
      </c>
      <c r="H283" s="4" t="s">
        <v>1550</v>
      </c>
      <c r="I283" s="3" t="s">
        <v>1551</v>
      </c>
      <c r="J283" s="3" t="s">
        <v>1552</v>
      </c>
      <c r="K283" s="3">
        <v>3</v>
      </c>
      <c r="L283" s="3">
        <v>36.406500000000001</v>
      </c>
      <c r="M283" s="3" t="s">
        <v>52</v>
      </c>
      <c r="N283" s="3" t="s">
        <v>1553</v>
      </c>
      <c r="O283" s="15" t="s">
        <v>1554</v>
      </c>
      <c r="P283" s="15" t="s">
        <v>1555</v>
      </c>
      <c r="Q283" s="3" t="s">
        <v>40</v>
      </c>
      <c r="R283" s="3" t="s">
        <v>412</v>
      </c>
      <c r="S283" s="9" t="str">
        <f t="shared" si="7"/>
        <v>[{MountingType,Through Hole},{PackageCase,SMD}]</v>
      </c>
    </row>
    <row r="284" spans="1:19">
      <c r="A284" s="3" t="s">
        <v>1421</v>
      </c>
      <c r="B284" s="3"/>
      <c r="C284" s="3" t="s">
        <v>1422</v>
      </c>
      <c r="D284" s="3" t="s">
        <v>1466</v>
      </c>
      <c r="E284" s="3"/>
      <c r="F284" s="3" t="s">
        <v>1467</v>
      </c>
      <c r="G284" s="3">
        <v>7447480101</v>
      </c>
      <c r="H284" s="3" t="s">
        <v>92</v>
      </c>
      <c r="I284" s="3" t="s">
        <v>1469</v>
      </c>
      <c r="J284" s="4" t="s">
        <v>1556</v>
      </c>
      <c r="K284" s="3">
        <v>12</v>
      </c>
      <c r="L284" s="3">
        <v>571.30200000000002</v>
      </c>
      <c r="M284" s="3" t="s">
        <v>52</v>
      </c>
      <c r="N284" s="3" t="s">
        <v>1557</v>
      </c>
      <c r="O284" s="15" t="s">
        <v>1558</v>
      </c>
      <c r="P284" s="15" t="s">
        <v>1559</v>
      </c>
      <c r="Q284" s="3" t="s">
        <v>40</v>
      </c>
      <c r="R284" s="3" t="s">
        <v>412</v>
      </c>
      <c r="S284" s="9" t="str">
        <f t="shared" si="7"/>
        <v>[{MountingType,Through Hole},{PackageCase,SMD}]</v>
      </c>
    </row>
    <row r="285" spans="1:19">
      <c r="A285" s="3" t="s">
        <v>1421</v>
      </c>
      <c r="B285" s="3"/>
      <c r="C285" s="3" t="s">
        <v>1422</v>
      </c>
      <c r="D285" s="3" t="s">
        <v>1466</v>
      </c>
      <c r="E285" s="3"/>
      <c r="F285" s="3" t="s">
        <v>1467</v>
      </c>
      <c r="G285" s="3" t="s">
        <v>1560</v>
      </c>
      <c r="H285" s="3" t="s">
        <v>1506</v>
      </c>
      <c r="I285" s="3" t="s">
        <v>1469</v>
      </c>
      <c r="J285" s="3" t="s">
        <v>1561</v>
      </c>
      <c r="K285" s="3">
        <v>2</v>
      </c>
      <c r="L285" s="3">
        <v>67.212000000000003</v>
      </c>
      <c r="M285" s="3" t="s">
        <v>52</v>
      </c>
      <c r="N285" s="3" t="s">
        <v>45</v>
      </c>
      <c r="O285" s="15" t="s">
        <v>1562</v>
      </c>
      <c r="P285" s="15" t="s">
        <v>1563</v>
      </c>
      <c r="Q285" s="3" t="s">
        <v>31</v>
      </c>
      <c r="R285" s="3" t="s">
        <v>412</v>
      </c>
      <c r="S285" s="9" t="str">
        <f t="shared" si="7"/>
        <v>[{MountingType,Surface Mount},{PackageCase,SMD}]</v>
      </c>
    </row>
    <row r="286" spans="1:19">
      <c r="A286" s="3" t="s">
        <v>1421</v>
      </c>
      <c r="B286" s="3"/>
      <c r="C286" s="3" t="s">
        <v>1422</v>
      </c>
      <c r="D286" s="3" t="s">
        <v>1466</v>
      </c>
      <c r="E286" s="3"/>
      <c r="F286" s="3" t="s">
        <v>1467</v>
      </c>
      <c r="G286" s="3" t="s">
        <v>1564</v>
      </c>
      <c r="H286" s="3" t="s">
        <v>1449</v>
      </c>
      <c r="I286" s="3" t="s">
        <v>1469</v>
      </c>
      <c r="J286" s="3" t="s">
        <v>1565</v>
      </c>
      <c r="K286" s="3">
        <v>2</v>
      </c>
      <c r="L286" s="3">
        <v>204.4365</v>
      </c>
      <c r="M286" s="3" t="s">
        <v>52</v>
      </c>
      <c r="N286" s="3" t="s">
        <v>1566</v>
      </c>
      <c r="O286" s="15" t="s">
        <v>1567</v>
      </c>
      <c r="P286" s="15" t="s">
        <v>1568</v>
      </c>
      <c r="Q286" s="3" t="s">
        <v>31</v>
      </c>
      <c r="R286" s="3" t="s">
        <v>1480</v>
      </c>
      <c r="S286" s="9" t="str">
        <f t="shared" si="7"/>
        <v>[{MountingType,Surface Mount},{PackageCase,Nonstandard}]</v>
      </c>
    </row>
    <row r="287" spans="1:19">
      <c r="A287" s="3" t="s">
        <v>1421</v>
      </c>
      <c r="B287" s="3"/>
      <c r="C287" s="3" t="s">
        <v>1422</v>
      </c>
      <c r="D287" s="3" t="s">
        <v>1466</v>
      </c>
      <c r="E287" s="3"/>
      <c r="F287" s="3" t="s">
        <v>1467</v>
      </c>
      <c r="G287" s="3" t="s">
        <v>1569</v>
      </c>
      <c r="H287" s="3" t="s">
        <v>1449</v>
      </c>
      <c r="I287" s="3" t="s">
        <v>1469</v>
      </c>
      <c r="J287" s="3" t="s">
        <v>1570</v>
      </c>
      <c r="K287" s="3">
        <v>5</v>
      </c>
      <c r="L287" s="3">
        <v>156.82800000000003</v>
      </c>
      <c r="M287" s="3" t="s">
        <v>52</v>
      </c>
      <c r="N287" s="3" t="s">
        <v>1571</v>
      </c>
      <c r="O287" s="15" t="s">
        <v>1572</v>
      </c>
      <c r="P287" s="15" t="s">
        <v>1573</v>
      </c>
      <c r="Q287" s="3" t="s">
        <v>31</v>
      </c>
      <c r="R287" s="3" t="s">
        <v>1480</v>
      </c>
      <c r="S287" s="9" t="str">
        <f t="shared" si="7"/>
        <v>[{MountingType,Surface Mount},{PackageCase,Nonstandard}]</v>
      </c>
    </row>
    <row r="288" spans="1:19">
      <c r="A288" s="3" t="s">
        <v>1421</v>
      </c>
      <c r="B288" s="3"/>
      <c r="C288" s="3" t="s">
        <v>1422</v>
      </c>
      <c r="D288" s="3" t="s">
        <v>1466</v>
      </c>
      <c r="E288" s="3"/>
      <c r="F288" s="3" t="s">
        <v>1467</v>
      </c>
      <c r="G288" s="3" t="s">
        <v>1574</v>
      </c>
      <c r="H288" s="3" t="s">
        <v>463</v>
      </c>
      <c r="I288" s="3" t="s">
        <v>1469</v>
      </c>
      <c r="J288" s="3" t="s">
        <v>1575</v>
      </c>
      <c r="K288" s="3">
        <v>2</v>
      </c>
      <c r="L288" s="3">
        <v>361.2645</v>
      </c>
      <c r="M288" s="3" t="s">
        <v>52</v>
      </c>
      <c r="N288" s="16" t="s">
        <v>1576</v>
      </c>
      <c r="O288" s="15" t="s">
        <v>1577</v>
      </c>
      <c r="P288" s="15" t="s">
        <v>1578</v>
      </c>
      <c r="Q288" s="3" t="s">
        <v>31</v>
      </c>
      <c r="R288" s="3" t="s">
        <v>1480</v>
      </c>
      <c r="S288" s="9" t="str">
        <f t="shared" si="7"/>
        <v>[{MountingType,Surface Mount},{PackageCase,Nonstandard}]</v>
      </c>
    </row>
    <row r="289" spans="1:19">
      <c r="A289" s="3" t="s">
        <v>1421</v>
      </c>
      <c r="B289" s="3"/>
      <c r="C289" s="3" t="s">
        <v>1422</v>
      </c>
      <c r="D289" s="3" t="s">
        <v>1579</v>
      </c>
      <c r="E289" s="3"/>
      <c r="F289" s="3" t="s">
        <v>1580</v>
      </c>
      <c r="G289" s="3" t="s">
        <v>1581</v>
      </c>
      <c r="H289" s="3" t="s">
        <v>1582</v>
      </c>
      <c r="I289" s="3" t="s">
        <v>1583</v>
      </c>
      <c r="J289" s="3" t="s">
        <v>1584</v>
      </c>
      <c r="K289" s="3">
        <v>1</v>
      </c>
      <c r="L289" s="3">
        <v>235.24199999999999</v>
      </c>
      <c r="M289" s="3" t="s">
        <v>52</v>
      </c>
      <c r="N289" s="3" t="s">
        <v>1585</v>
      </c>
      <c r="O289" s="15" t="s">
        <v>1586</v>
      </c>
      <c r="P289" s="15" t="s">
        <v>1587</v>
      </c>
      <c r="Q289" s="3" t="s">
        <v>31</v>
      </c>
      <c r="R289" s="3" t="s">
        <v>1588</v>
      </c>
      <c r="S289" s="9" t="str">
        <f t="shared" si="7"/>
        <v>[{MountingType,Surface Mount},{PackageCase,2-SMD}]</v>
      </c>
    </row>
    <row r="290" spans="1:19">
      <c r="A290" s="3" t="s">
        <v>1421</v>
      </c>
      <c r="B290" s="3"/>
      <c r="C290" s="3" t="s">
        <v>1422</v>
      </c>
      <c r="D290" s="3" t="s">
        <v>1579</v>
      </c>
      <c r="E290" s="3"/>
      <c r="F290" s="3" t="s">
        <v>1580</v>
      </c>
      <c r="G290" s="3" t="s">
        <v>1589</v>
      </c>
      <c r="H290" s="3" t="s">
        <v>1590</v>
      </c>
      <c r="I290" s="3" t="s">
        <v>1583</v>
      </c>
      <c r="J290" s="3" t="s">
        <v>1591</v>
      </c>
      <c r="K290" s="3">
        <v>10</v>
      </c>
      <c r="L290" s="3">
        <v>0</v>
      </c>
      <c r="M290" s="3" t="s">
        <v>52</v>
      </c>
      <c r="N290" s="3" t="s">
        <v>1592</v>
      </c>
      <c r="O290" s="15" t="s">
        <v>1593</v>
      </c>
      <c r="P290" s="15" t="s">
        <v>1594</v>
      </c>
      <c r="Q290" s="3" t="s">
        <v>31</v>
      </c>
      <c r="R290" s="3" t="s">
        <v>1595</v>
      </c>
      <c r="S290" s="9" t="str">
        <f t="shared" si="7"/>
        <v>[{MountingType,Surface Mount},{PackageCase,4-SMD}]</v>
      </c>
    </row>
    <row r="291" spans="1:19">
      <c r="A291" s="3" t="s">
        <v>1421</v>
      </c>
      <c r="B291" s="3"/>
      <c r="C291" s="3" t="s">
        <v>1422</v>
      </c>
      <c r="D291" s="3" t="s">
        <v>1579</v>
      </c>
      <c r="E291" s="3"/>
      <c r="F291" s="3" t="s">
        <v>1580</v>
      </c>
      <c r="G291" s="3" t="s">
        <v>1596</v>
      </c>
      <c r="H291" s="3" t="s">
        <v>1597</v>
      </c>
      <c r="I291" s="3" t="s">
        <v>1583</v>
      </c>
      <c r="J291" s="3" t="s">
        <v>1598</v>
      </c>
      <c r="K291" s="3">
        <v>2</v>
      </c>
      <c r="L291" s="3">
        <v>201.636</v>
      </c>
      <c r="M291" s="3" t="s">
        <v>52</v>
      </c>
      <c r="N291" s="3" t="s">
        <v>1599</v>
      </c>
      <c r="O291" s="15" t="s">
        <v>1600</v>
      </c>
      <c r="P291" s="15" t="s">
        <v>1601</v>
      </c>
      <c r="Q291" s="3" t="s">
        <v>31</v>
      </c>
      <c r="R291" s="3" t="s">
        <v>1602</v>
      </c>
      <c r="S291" s="9" t="str">
        <f t="shared" si="7"/>
        <v>[{MountingType,Surface Mount},{PackageCase,4-SOJ 5.50mm pitch}]</v>
      </c>
    </row>
    <row r="292" spans="1:19">
      <c r="A292" s="3" t="s">
        <v>1421</v>
      </c>
      <c r="B292" s="3"/>
      <c r="C292" s="3" t="s">
        <v>1422</v>
      </c>
      <c r="D292" s="3" t="s">
        <v>1579</v>
      </c>
      <c r="E292" s="3"/>
      <c r="F292" s="3" t="s">
        <v>1580</v>
      </c>
      <c r="G292" s="3" t="s">
        <v>1603</v>
      </c>
      <c r="H292" s="3" t="s">
        <v>1604</v>
      </c>
      <c r="I292" s="3" t="s">
        <v>1583</v>
      </c>
      <c r="J292" s="3" t="s">
        <v>1605</v>
      </c>
      <c r="K292" s="3">
        <v>1</v>
      </c>
      <c r="L292" s="3">
        <v>28.005000000000003</v>
      </c>
      <c r="M292" s="3" t="s">
        <v>52</v>
      </c>
      <c r="N292" s="3" t="s">
        <v>45</v>
      </c>
      <c r="O292" s="15" t="s">
        <v>1606</v>
      </c>
      <c r="P292" s="15" t="s">
        <v>1607</v>
      </c>
      <c r="Q292" s="3" t="s">
        <v>31</v>
      </c>
      <c r="R292" s="3" t="s">
        <v>1608</v>
      </c>
      <c r="S292" s="9" t="str">
        <f t="shared" si="7"/>
        <v>[{MountingType,Surface Mount},{PackageCase,HC-49S-SMD}]</v>
      </c>
    </row>
    <row r="293" spans="1:19">
      <c r="A293" s="3" t="s">
        <v>1421</v>
      </c>
      <c r="B293" s="3"/>
      <c r="C293" s="3" t="s">
        <v>1422</v>
      </c>
      <c r="D293" s="3" t="s">
        <v>1579</v>
      </c>
      <c r="E293" s="3"/>
      <c r="F293" s="3" t="s">
        <v>1580</v>
      </c>
      <c r="G293" s="3" t="s">
        <v>1609</v>
      </c>
      <c r="H293" s="3" t="s">
        <v>1610</v>
      </c>
      <c r="I293" s="3" t="s">
        <v>1583</v>
      </c>
      <c r="J293" s="3" t="s">
        <v>1611</v>
      </c>
      <c r="K293" s="3">
        <v>2</v>
      </c>
      <c r="L293" s="3">
        <v>75.613500000000002</v>
      </c>
      <c r="M293" s="3" t="s">
        <v>52</v>
      </c>
      <c r="N293" s="3" t="s">
        <v>45</v>
      </c>
      <c r="O293" s="15" t="s">
        <v>1612</v>
      </c>
      <c r="P293" s="15" t="s">
        <v>1613</v>
      </c>
      <c r="Q293" s="3" t="s">
        <v>31</v>
      </c>
      <c r="R293" s="4" t="s">
        <v>1614</v>
      </c>
      <c r="S293" s="9" t="str">
        <f t="shared" si="7"/>
        <v>[{MountingType,Surface Mount},{PackageCase,SMD2012-2P}]</v>
      </c>
    </row>
    <row r="294" spans="1:19">
      <c r="A294" s="3" t="s">
        <v>1421</v>
      </c>
      <c r="B294" s="3"/>
      <c r="C294" s="3" t="s">
        <v>1422</v>
      </c>
      <c r="D294" s="3" t="s">
        <v>1579</v>
      </c>
      <c r="E294" s="3"/>
      <c r="F294" s="3" t="s">
        <v>1580</v>
      </c>
      <c r="G294" s="3" t="s">
        <v>1615</v>
      </c>
      <c r="H294" s="3" t="s">
        <v>1616</v>
      </c>
      <c r="I294" s="3" t="s">
        <v>1583</v>
      </c>
      <c r="J294" s="3" t="s">
        <v>1617</v>
      </c>
      <c r="K294" s="3">
        <v>2</v>
      </c>
      <c r="L294" s="3">
        <v>98.017499999999998</v>
      </c>
      <c r="M294" s="3" t="s">
        <v>52</v>
      </c>
      <c r="N294" s="3" t="s">
        <v>1618</v>
      </c>
      <c r="O294" s="15" t="s">
        <v>1619</v>
      </c>
      <c r="P294" s="15" t="s">
        <v>1620</v>
      </c>
      <c r="Q294" s="3" t="s">
        <v>31</v>
      </c>
      <c r="R294" s="3" t="s">
        <v>1621</v>
      </c>
      <c r="S294" s="9" t="str">
        <f t="shared" si="7"/>
        <v>[{MountingType,Surface Mount},{PackageCase,SMD3225-4P}]</v>
      </c>
    </row>
    <row r="295" spans="1:19">
      <c r="F295" s="3"/>
    </row>
    <row r="1048576" spans="6:6">
      <c r="F1048576" s="17"/>
    </row>
  </sheetData>
  <autoFilter ref="A1:S294" xr:uid="{00000000-0009-0000-0000-000000000000}"/>
  <conditionalFormatting sqref="G1:G262 G295:G1048576">
    <cfRule type="duplicateValues" dxfId="2" priority="1"/>
    <cfRule type="duplicateValues" dxfId="1" priority="2"/>
    <cfRule type="duplicateValues" dxfId="0" priority="3"/>
  </conditionalFormatting>
  <hyperlinks>
    <hyperlink ref="P2" r:id="rId1" display="https://media.digikey.com/photos/Omron Elect Photos/B3U-1000P.JPG" xr:uid="{00000000-0004-0000-0000-000000000000}"/>
    <hyperlink ref="P3" r:id="rId2" xr:uid="{00000000-0004-0000-0000-000001000000}"/>
    <hyperlink ref="P4" r:id="rId3" xr:uid="{00000000-0004-0000-0000-000002000000}"/>
    <hyperlink ref="P5" r:id="rId4" display="https://media.digikey.com/Photos/Panasonic Photos/ESE-18R63D.jpg" xr:uid="{00000000-0004-0000-0000-000003000000}"/>
    <hyperlink ref="P6" r:id="rId5" xr:uid="{00000000-0004-0000-0000-000004000000}"/>
    <hyperlink ref="P7" r:id="rId6" xr:uid="{00000000-0004-0000-0000-000005000000}"/>
    <hyperlink ref="P8" r:id="rId7" xr:uid="{00000000-0004-0000-0000-000006000000}"/>
    <hyperlink ref="P9" r:id="rId8" xr:uid="{00000000-0004-0000-0000-000007000000}"/>
    <hyperlink ref="P10" r:id="rId9" xr:uid="{00000000-0004-0000-0000-000008000000}"/>
    <hyperlink ref="P11" r:id="rId10" xr:uid="{00000000-0004-0000-0000-000009000000}"/>
    <hyperlink ref="P12" r:id="rId11" xr:uid="{00000000-0004-0000-0000-00000A000000}"/>
    <hyperlink ref="P13" r:id="rId12" xr:uid="{00000000-0004-0000-0000-00000B000000}"/>
    <hyperlink ref="O2" r:id="rId13" xr:uid="{00000000-0004-0000-0000-00000C000000}"/>
    <hyperlink ref="O3" r:id="rId14" xr:uid="{00000000-0004-0000-0000-00000D000000}"/>
    <hyperlink ref="O4" r:id="rId15" xr:uid="{00000000-0004-0000-0000-00000E000000}"/>
    <hyperlink ref="O5" r:id="rId16" xr:uid="{00000000-0004-0000-0000-00000F000000}"/>
    <hyperlink ref="O6" r:id="rId17" xr:uid="{00000000-0004-0000-0000-000010000000}"/>
    <hyperlink ref="O7" r:id="rId18" xr:uid="{00000000-0004-0000-0000-000011000000}"/>
    <hyperlink ref="O8" r:id="rId19" xr:uid="{00000000-0004-0000-0000-000012000000}"/>
    <hyperlink ref="O9" r:id="rId20" xr:uid="{00000000-0004-0000-0000-000013000000}"/>
    <hyperlink ref="O10" r:id="rId21" xr:uid="{00000000-0004-0000-0000-000014000000}"/>
    <hyperlink ref="O11" r:id="rId22" xr:uid="{00000000-0004-0000-0000-000015000000}"/>
    <hyperlink ref="O12" r:id="rId23" xr:uid="{00000000-0004-0000-0000-000016000000}"/>
    <hyperlink ref="O13" r:id="rId24" xr:uid="{00000000-0004-0000-0000-000017000000}"/>
    <hyperlink ref="O14" r:id="rId25" xr:uid="{00000000-0004-0000-0000-000018000000}"/>
    <hyperlink ref="O15" r:id="rId26" xr:uid="{00000000-0004-0000-0000-000019000000}"/>
    <hyperlink ref="P14" r:id="rId27" xr:uid="{00000000-0004-0000-0000-00001A000000}"/>
    <hyperlink ref="P15" r:id="rId28" xr:uid="{00000000-0004-0000-0000-00001B000000}"/>
    <hyperlink ref="O16" r:id="rId29" xr:uid="{00000000-0004-0000-0000-00001C000000}"/>
    <hyperlink ref="O17" r:id="rId30" xr:uid="{00000000-0004-0000-0000-00001D000000}"/>
    <hyperlink ref="O18" r:id="rId31" xr:uid="{00000000-0004-0000-0000-00001E000000}"/>
    <hyperlink ref="O19" r:id="rId32" xr:uid="{00000000-0004-0000-0000-00001F000000}"/>
    <hyperlink ref="O20" r:id="rId33" xr:uid="{00000000-0004-0000-0000-000020000000}"/>
    <hyperlink ref="O21" r:id="rId34" xr:uid="{00000000-0004-0000-0000-000021000000}"/>
    <hyperlink ref="O22" r:id="rId35" xr:uid="{00000000-0004-0000-0000-000022000000}"/>
    <hyperlink ref="O23" r:id="rId36" xr:uid="{00000000-0004-0000-0000-000023000000}"/>
    <hyperlink ref="O24" r:id="rId37" xr:uid="{00000000-0004-0000-0000-000024000000}"/>
    <hyperlink ref="O25" r:id="rId38" xr:uid="{00000000-0004-0000-0000-000025000000}"/>
    <hyperlink ref="O26" r:id="rId39" xr:uid="{00000000-0004-0000-0000-000026000000}"/>
    <hyperlink ref="O27" r:id="rId40" xr:uid="{00000000-0004-0000-0000-000027000000}"/>
    <hyperlink ref="O28" r:id="rId41" xr:uid="{00000000-0004-0000-0000-000028000000}"/>
    <hyperlink ref="O29" r:id="rId42" xr:uid="{00000000-0004-0000-0000-000029000000}"/>
    <hyperlink ref="O30" r:id="rId43" xr:uid="{00000000-0004-0000-0000-00002A000000}"/>
    <hyperlink ref="O31" r:id="rId44" xr:uid="{00000000-0004-0000-0000-00002B000000}"/>
    <hyperlink ref="O32" r:id="rId45" xr:uid="{00000000-0004-0000-0000-00002C000000}"/>
    <hyperlink ref="O33" r:id="rId46" xr:uid="{00000000-0004-0000-0000-00002D000000}"/>
    <hyperlink ref="O34" r:id="rId47" xr:uid="{00000000-0004-0000-0000-00002E000000}"/>
    <hyperlink ref="O35" r:id="rId48" xr:uid="{00000000-0004-0000-0000-00002F000000}"/>
    <hyperlink ref="O36" r:id="rId49" xr:uid="{00000000-0004-0000-0000-000030000000}"/>
    <hyperlink ref="O37" r:id="rId50" xr:uid="{00000000-0004-0000-0000-000031000000}"/>
    <hyperlink ref="O38" r:id="rId51" xr:uid="{00000000-0004-0000-0000-000032000000}"/>
    <hyperlink ref="O39" r:id="rId52" xr:uid="{00000000-0004-0000-0000-000033000000}"/>
    <hyperlink ref="O40" r:id="rId53" xr:uid="{00000000-0004-0000-0000-000034000000}"/>
    <hyperlink ref="O41" r:id="rId54" xr:uid="{00000000-0004-0000-0000-000035000000}"/>
    <hyperlink ref="O42" r:id="rId55" display="https://media.digikey.com/pdf/Data Sheets/FCI PDFs/Minitek 127_Catalog.pdf" xr:uid="{00000000-0004-0000-0000-000036000000}"/>
    <hyperlink ref="O44" r:id="rId56" xr:uid="{00000000-0004-0000-0000-000037000000}"/>
    <hyperlink ref="O45" r:id="rId57" xr:uid="{00000000-0004-0000-0000-000038000000}"/>
    <hyperlink ref="O46" r:id="rId58" xr:uid="{00000000-0004-0000-0000-000039000000}"/>
    <hyperlink ref="O47" r:id="rId59" xr:uid="{00000000-0004-0000-0000-00003A000000}"/>
    <hyperlink ref="O49" r:id="rId60" xr:uid="{00000000-0004-0000-0000-00003B000000}"/>
    <hyperlink ref="O50" r:id="rId61" xr:uid="{00000000-0004-0000-0000-00003C000000}"/>
    <hyperlink ref="O51" r:id="rId62" xr:uid="{00000000-0004-0000-0000-00003D000000}"/>
    <hyperlink ref="P16" r:id="rId63" xr:uid="{00000000-0004-0000-0000-00003E000000}"/>
    <hyperlink ref="P17" r:id="rId64" display="https://media.digikey.com/photos/JST Photos/B3B-XH-A(LF)(SN).jpg" xr:uid="{00000000-0004-0000-0000-00003F000000}"/>
    <hyperlink ref="P18" r:id="rId65" display="https://media.digikey.com/photos/Hirose Elect Photos/U.FL-R-SMT(01).jpg" xr:uid="{00000000-0004-0000-0000-000040000000}"/>
    <hyperlink ref="P19" r:id="rId66" display="https://media.digikey.com/Photos/TE Connectivity/MFG_2305018-2.jpg" xr:uid="{00000000-0004-0000-0000-000041000000}"/>
    <hyperlink ref="P20" r:id="rId67" display="https://media.digikey.com/Photos/FCI Photos/10118194-0001LF.JPG" xr:uid="{00000000-0004-0000-0000-000042000000}"/>
    <hyperlink ref="P21" r:id="rId68" xr:uid="{00000000-0004-0000-0000-000043000000}"/>
    <hyperlink ref="P22" r:id="rId69" display="https://media.digikey.com/photos/JST Photos/B4B-PH-K-S.jpg" xr:uid="{00000000-0004-0000-0000-000044000000}"/>
    <hyperlink ref="P25" r:id="rId70" display="https://media.digikey.com/Photos/Amphenol Photos/10118192-0001LF.jpg" xr:uid="{00000000-0004-0000-0000-000045000000}"/>
    <hyperlink ref="P27" r:id="rId71" xr:uid="{00000000-0004-0000-0000-000046000000}"/>
    <hyperlink ref="P28" r:id="rId72" display="https://media.digikey.com/Photos/Wurth Electronics Photos/MFG_693043020611.jpg" xr:uid="{00000000-0004-0000-0000-000047000000}"/>
    <hyperlink ref="P29" r:id="rId73" display="https://media.digikey.com/photos/JST Photos/B2B-PH-K-S.jpg" xr:uid="{00000000-0004-0000-0000-000048000000}"/>
    <hyperlink ref="P30" r:id="rId74" xr:uid="{00000000-0004-0000-0000-000049000000}"/>
    <hyperlink ref="P31" r:id="rId75" xr:uid="{00000000-0004-0000-0000-00004A000000}"/>
    <hyperlink ref="P32" r:id="rId76" display="https://media.digikey.com/photos/JST Photos/PHR-13.jpg" xr:uid="{00000000-0004-0000-0000-00004B000000}"/>
    <hyperlink ref="P34" r:id="rId77" display="https://media.digikey.com/photos/CnC Tech/3221-16-0300-00.JPG" xr:uid="{00000000-0004-0000-0000-00004C000000}"/>
    <hyperlink ref="P35" r:id="rId78" display="https://media.digikey.com/Photos/FCI Photos/20021111-00010T4LF.JPG" xr:uid="{00000000-0004-0000-0000-00004D000000}"/>
    <hyperlink ref="P37" r:id="rId79" xr:uid="{00000000-0004-0000-0000-00004E000000}"/>
    <hyperlink ref="P39" r:id="rId80" xr:uid="{00000000-0004-0000-0000-00004F000000}"/>
    <hyperlink ref="P40" r:id="rId81" xr:uid="{00000000-0004-0000-0000-000050000000}"/>
    <hyperlink ref="P44" r:id="rId82" display="https://media.digikey.com/photos/Tyco Photos/292303-1.JPG" xr:uid="{00000000-0004-0000-0000-000051000000}"/>
    <hyperlink ref="P45" r:id="rId83" display="https://media.digikey.com/Renders/TE Connectivity/Breakaway-Vert-3-Gold-Pins-Green.jpg" xr:uid="{00000000-0004-0000-0000-000052000000}"/>
    <hyperlink ref="P46" r:id="rId84" display="https://media.digikey.com/photos/Tyco Amp Photos/640456-3, 640454-3.jpg" xr:uid="{00000000-0004-0000-0000-000053000000}"/>
    <hyperlink ref="P47" r:id="rId85" xr:uid="{00000000-0004-0000-0000-000054000000}"/>
    <hyperlink ref="P48" r:id="rId86" xr:uid="{00000000-0004-0000-0000-000055000000}"/>
    <hyperlink ref="P49" r:id="rId87" display="https://media.digikey.com/photos/Hirose Elect Photos/DF13-2P-1.25H(20).jpg" xr:uid="{00000000-0004-0000-0000-000056000000}"/>
    <hyperlink ref="P51" r:id="rId88" display="https://media.digikey.com/photos/JST Photos/PHR-2.jpg" xr:uid="{00000000-0004-0000-0000-000057000000}"/>
    <hyperlink ref="O52" r:id="rId89" xr:uid="{00000000-0004-0000-0000-000058000000}"/>
    <hyperlink ref="O53" r:id="rId90" xr:uid="{00000000-0004-0000-0000-000059000000}"/>
    <hyperlink ref="P52" r:id="rId91" xr:uid="{00000000-0004-0000-0000-00005A000000}"/>
    <hyperlink ref="P53" r:id="rId92" xr:uid="{00000000-0004-0000-0000-00005B000000}"/>
    <hyperlink ref="O43" r:id="rId93" xr:uid="{00000000-0004-0000-0000-00005C000000}"/>
    <hyperlink ref="P43" r:id="rId94" xr:uid="{00000000-0004-0000-0000-00005D000000}"/>
    <hyperlink ref="O54" r:id="rId95" xr:uid="{00000000-0004-0000-0000-00005E000000}"/>
    <hyperlink ref="O55" r:id="rId96" xr:uid="{00000000-0004-0000-0000-00005F000000}"/>
    <hyperlink ref="O56" r:id="rId97" xr:uid="{00000000-0004-0000-0000-000060000000}"/>
    <hyperlink ref="O57" r:id="rId98" xr:uid="{00000000-0004-0000-0000-000061000000}"/>
    <hyperlink ref="O58" r:id="rId99" xr:uid="{00000000-0004-0000-0000-000062000000}"/>
    <hyperlink ref="O59" r:id="rId100" xr:uid="{00000000-0004-0000-0000-000063000000}"/>
    <hyperlink ref="O60" r:id="rId101" xr:uid="{00000000-0004-0000-0000-000064000000}"/>
    <hyperlink ref="O61" r:id="rId102" xr:uid="{00000000-0004-0000-0000-000065000000}"/>
    <hyperlink ref="O62" r:id="rId103" xr:uid="{00000000-0004-0000-0000-000066000000}"/>
    <hyperlink ref="O63" r:id="rId104" display="https://media.digikey.com/pdf/Data Sheets/Bivar Inc PDFs/SM4014_Series.pdf" xr:uid="{00000000-0004-0000-0000-000067000000}"/>
    <hyperlink ref="O64" r:id="rId105" xr:uid="{00000000-0004-0000-0000-000068000000}"/>
    <hyperlink ref="O65" r:id="rId106" display="https://media.digikey.com/pdf/Data Sheets/Lite-On PDFs/LTST-C193TBKT-5A.pdf" xr:uid="{00000000-0004-0000-0000-000069000000}"/>
    <hyperlink ref="O66" r:id="rId107" xr:uid="{00000000-0004-0000-0000-00006A000000}"/>
    <hyperlink ref="O67" r:id="rId108" xr:uid="{00000000-0004-0000-0000-00006B000000}"/>
    <hyperlink ref="O68" r:id="rId109" xr:uid="{00000000-0004-0000-0000-00006C000000}"/>
    <hyperlink ref="O69" r:id="rId110" xr:uid="{00000000-0004-0000-0000-00006D000000}"/>
    <hyperlink ref="O70" r:id="rId111" xr:uid="{00000000-0004-0000-0000-00006E000000}"/>
    <hyperlink ref="O71" r:id="rId112" xr:uid="{00000000-0004-0000-0000-00006F000000}"/>
    <hyperlink ref="O72" r:id="rId113" xr:uid="{00000000-0004-0000-0000-000070000000}"/>
    <hyperlink ref="O73" r:id="rId114" xr:uid="{00000000-0004-0000-0000-000071000000}"/>
    <hyperlink ref="O74" r:id="rId115" xr:uid="{00000000-0004-0000-0000-000072000000}"/>
    <hyperlink ref="O75" r:id="rId116" xr:uid="{00000000-0004-0000-0000-000073000000}"/>
    <hyperlink ref="O76" r:id="rId117" xr:uid="{00000000-0004-0000-0000-000074000000}"/>
    <hyperlink ref="O77" r:id="rId118" xr:uid="{00000000-0004-0000-0000-000075000000}"/>
    <hyperlink ref="O78" r:id="rId119" xr:uid="{00000000-0004-0000-0000-000076000000}"/>
    <hyperlink ref="O79" r:id="rId120" xr:uid="{00000000-0004-0000-0000-000077000000}"/>
    <hyperlink ref="O80" r:id="rId121" xr:uid="{00000000-0004-0000-0000-000078000000}"/>
    <hyperlink ref="O81" r:id="rId122" xr:uid="{00000000-0004-0000-0000-000079000000}"/>
    <hyperlink ref="O82" r:id="rId123" xr:uid="{00000000-0004-0000-0000-00007A000000}"/>
    <hyperlink ref="O83" r:id="rId124" xr:uid="{00000000-0004-0000-0000-00007B000000}"/>
    <hyperlink ref="O84" r:id="rId125" xr:uid="{00000000-0004-0000-0000-00007C000000}"/>
    <hyperlink ref="O85" r:id="rId126" xr:uid="{00000000-0004-0000-0000-00007D000000}"/>
    <hyperlink ref="O86" r:id="rId127" xr:uid="{00000000-0004-0000-0000-00007E000000}"/>
    <hyperlink ref="O87" r:id="rId128" xr:uid="{00000000-0004-0000-0000-00007F000000}"/>
    <hyperlink ref="O88" r:id="rId129" xr:uid="{00000000-0004-0000-0000-000080000000}"/>
    <hyperlink ref="O89" r:id="rId130" xr:uid="{00000000-0004-0000-0000-000081000000}"/>
    <hyperlink ref="O90" r:id="rId131" xr:uid="{00000000-0004-0000-0000-000082000000}"/>
    <hyperlink ref="O91" r:id="rId132" xr:uid="{00000000-0004-0000-0000-000083000000}"/>
    <hyperlink ref="O92" r:id="rId133" xr:uid="{00000000-0004-0000-0000-000084000000}"/>
    <hyperlink ref="P54" r:id="rId134" display="https://media.digikey.com/photos/Lite On Photos/LTST-C190KGKT,LTST-C190KRKT,LTST-C190KSKT,LTST-C190KYKT.jpg" xr:uid="{00000000-0004-0000-0000-000085000000}"/>
    <hyperlink ref="P55" r:id="rId135" display="https://media.digikey.com/photos/Lite On Photos/LTST-C150TBKT,LTST-C150KAKT,LTST-C150KGKT.jpg" xr:uid="{00000000-0004-0000-0000-000086000000}"/>
    <hyperlink ref="P56" r:id="rId136" display="https://media.digikey.com/photos/Lite On Photos/LTST-C170KGKT,LTST-C170KRKT,LTST-C170KSKT.jpg" xr:uid="{00000000-0004-0000-0000-000087000000}"/>
    <hyperlink ref="P57" r:id="rId137" xr:uid="{00000000-0004-0000-0000-000088000000}"/>
    <hyperlink ref="P58" r:id="rId138" xr:uid="{00000000-0004-0000-0000-000089000000}"/>
    <hyperlink ref="P59" r:id="rId139" xr:uid="{00000000-0004-0000-0000-00008A000000}"/>
    <hyperlink ref="P60" r:id="rId140" xr:uid="{00000000-0004-0000-0000-00008B000000}"/>
    <hyperlink ref="P61" r:id="rId141" xr:uid="{00000000-0004-0000-0000-00008C000000}"/>
    <hyperlink ref="P62" r:id="rId142" display="https://media.digikey.com/photos/Kingbright Photos/APHHS1005QBC%5ED.jpg" xr:uid="{00000000-0004-0000-0000-00008D000000}"/>
    <hyperlink ref="P63" r:id="rId143" display="https://media.digikey.com/Photos/Bivar Inc Photos/MFG_SM4014.jpg" xr:uid="{00000000-0004-0000-0000-00008E000000}"/>
    <hyperlink ref="P64" r:id="rId144" display="https://media.digikey.com/Photos/Sparkfun Elec  Photos/MFG_COM-13667.jpg" xr:uid="{00000000-0004-0000-0000-00008F000000}"/>
    <hyperlink ref="P65" r:id="rId145" display="https://media.digikey.com/Renders/Lite On Renders/LTST-C193TBKT-5A.jpg" xr:uid="{00000000-0004-0000-0000-000090000000}"/>
    <hyperlink ref="P66" r:id="rId146" xr:uid="{00000000-0004-0000-0000-000091000000}"/>
    <hyperlink ref="P67" r:id="rId147" display="https://media.digikey.com/Renders/Lite On Renders/LTST-C191TGKT.jpg" xr:uid="{00000000-0004-0000-0000-000092000000}"/>
    <hyperlink ref="P68" r:id="rId148" xr:uid="{00000000-0004-0000-0000-000093000000}"/>
    <hyperlink ref="P69" r:id="rId149" xr:uid="{00000000-0004-0000-0000-000094000000}"/>
    <hyperlink ref="P70" r:id="rId150" xr:uid="{00000000-0004-0000-0000-000095000000}"/>
    <hyperlink ref="P71" r:id="rId151" display="https://media.digikey.com/Photos/Fairchild Semi Photos/S1J.jpg" xr:uid="{00000000-0004-0000-0000-000096000000}"/>
    <hyperlink ref="P72" r:id="rId152" display="https://media.digikey.com/Renders/Diodes Renders/POWERDI 123.jpg" xr:uid="{00000000-0004-0000-0000-000097000000}"/>
    <hyperlink ref="P73" r:id="rId153" xr:uid="{00000000-0004-0000-0000-000098000000}"/>
    <hyperlink ref="P74" r:id="rId154" xr:uid="{00000000-0004-0000-0000-000099000000}"/>
    <hyperlink ref="P75" r:id="rId155" display="https://media.digikey.com/Renders/Diodes Renders/DO-214AA_SMB.jpg" xr:uid="{00000000-0004-0000-0000-00009A000000}"/>
    <hyperlink ref="P76" r:id="rId156" xr:uid="{00000000-0004-0000-0000-00009B000000}"/>
    <hyperlink ref="P77" r:id="rId157" display="https://media.digikey.com/photos/On Semi Photos/POWERMITE.jpg" xr:uid="{00000000-0004-0000-0000-00009C000000}"/>
    <hyperlink ref="P78" r:id="rId158" display="https://media.digikey.com/Renders/On Semi Renders/SOD-123_498.jpg" xr:uid="{00000000-0004-0000-0000-00009D000000}"/>
    <hyperlink ref="P79" r:id="rId159" xr:uid="{00000000-0004-0000-0000-00009E000000}"/>
    <hyperlink ref="P80" r:id="rId160" display="https://media.digikey.com/Renders/On Semi Renders/SOD-123_425.jpg" xr:uid="{00000000-0004-0000-0000-00009F000000}"/>
    <hyperlink ref="P81" r:id="rId161" display="https://media.digikey.com/Renders/On Semi Renders/SOD-923_514AB.jpg" xr:uid="{00000000-0004-0000-0000-0000A0000000}"/>
    <hyperlink ref="P82" r:id="rId162" xr:uid="{00000000-0004-0000-0000-0000A1000000}"/>
    <hyperlink ref="P83" r:id="rId163" xr:uid="{00000000-0004-0000-0000-0000A2000000}"/>
    <hyperlink ref="P84" r:id="rId164" xr:uid="{00000000-0004-0000-0000-0000A3000000}"/>
    <hyperlink ref="P85" r:id="rId165" xr:uid="{00000000-0004-0000-0000-0000A4000000}"/>
    <hyperlink ref="P86" r:id="rId166" display="https://media.digikey.com/Renders/Diodes Renders/DO-214AA_SMB.jpg" xr:uid="{00000000-0004-0000-0000-0000A5000000}"/>
    <hyperlink ref="P87" r:id="rId167" xr:uid="{00000000-0004-0000-0000-0000A6000000}"/>
    <hyperlink ref="P88" r:id="rId168" display="https://media.digikey.com/Renders/Diodes Renders/31; SOD-123; ; 2.jpg" xr:uid="{00000000-0004-0000-0000-0000A7000000}"/>
    <hyperlink ref="P89" r:id="rId169" xr:uid="{00000000-0004-0000-0000-0000A8000000}"/>
    <hyperlink ref="P90" r:id="rId170" xr:uid="{00000000-0004-0000-0000-0000A9000000}"/>
    <hyperlink ref="P91" r:id="rId171" xr:uid="{00000000-0004-0000-0000-0000AA000000}"/>
    <hyperlink ref="P92" r:id="rId172" xr:uid="{00000000-0004-0000-0000-0000AB000000}"/>
    <hyperlink ref="A98" r:id="rId173" display="https://octopart.com/electronic-parts/integrated-circuits-ics" xr:uid="{00000000-0004-0000-0000-0000AC000000}"/>
    <hyperlink ref="A106" r:id="rId174" display="https://octopart.com/electronic-parts/integrated-circuits-ics" xr:uid="{00000000-0004-0000-0000-0000AD000000}"/>
    <hyperlink ref="A107" r:id="rId175" display="https://octopart.com/electronic-parts/integrated-circuits-ics" xr:uid="{00000000-0004-0000-0000-0000AE000000}"/>
    <hyperlink ref="A108" r:id="rId176" display="https://octopart.com/electronic-parts/integrated-circuits-ics" xr:uid="{00000000-0004-0000-0000-0000AF000000}"/>
    <hyperlink ref="A115" r:id="rId177" display="https://octopart.com/electronic-parts/integrated-circuits-ics" xr:uid="{00000000-0004-0000-0000-0000B0000000}"/>
    <hyperlink ref="A129" r:id="rId178" display="https://octopart.com/electronic-parts/electromechanical" xr:uid="{00000000-0004-0000-0000-0000B1000000}"/>
    <hyperlink ref="A136" r:id="rId179" display="https://octopart.com/electronic-parts/integrated-circuits-ics" xr:uid="{00000000-0004-0000-0000-0000B2000000}"/>
    <hyperlink ref="D130" r:id="rId180" display="https://octopart.com/electronic-parts/integrated-circuits-ics/power-management-ics" xr:uid="{00000000-0004-0000-0000-0000B3000000}"/>
    <hyperlink ref="D136" r:id="rId181" display="https://octopart.com/electronic-parts/integrated-circuits-ics/power-management-ics" xr:uid="{00000000-0004-0000-0000-0000B4000000}"/>
    <hyperlink ref="I130" r:id="rId182" display="https://octopart.com/electronic-parts/integrated-circuits-ics/power-management-ics/gate-drivers" xr:uid="{00000000-0004-0000-0000-0000B5000000}"/>
    <hyperlink ref="I140" r:id="rId183" display="https://octopart.com/electronic-parts/integrated-circuits-ics/linear-ics/amplifiers-op-amps-buffer-instrumentation" xr:uid="{00000000-0004-0000-0000-0000B6000000}"/>
    <hyperlink ref="O93" r:id="rId184" xr:uid="{00000000-0004-0000-0000-0000B7000000}"/>
    <hyperlink ref="O94" r:id="rId185" xr:uid="{00000000-0004-0000-0000-0000B8000000}"/>
    <hyperlink ref="O95" r:id="rId186" xr:uid="{00000000-0004-0000-0000-0000B9000000}"/>
    <hyperlink ref="O96" r:id="rId187" xr:uid="{00000000-0004-0000-0000-0000BA000000}"/>
    <hyperlink ref="O97" r:id="rId188" xr:uid="{00000000-0004-0000-0000-0000BB000000}"/>
    <hyperlink ref="O98" r:id="rId189" xr:uid="{00000000-0004-0000-0000-0000BC000000}"/>
    <hyperlink ref="O99" r:id="rId190" xr:uid="{00000000-0004-0000-0000-0000BD000000}"/>
    <hyperlink ref="O100" r:id="rId191" xr:uid="{00000000-0004-0000-0000-0000BE000000}"/>
    <hyperlink ref="O102" r:id="rId192" xr:uid="{00000000-0004-0000-0000-0000BF000000}"/>
    <hyperlink ref="O103" r:id="rId193" xr:uid="{00000000-0004-0000-0000-0000C0000000}"/>
    <hyperlink ref="O104" r:id="rId194" xr:uid="{00000000-0004-0000-0000-0000C1000000}"/>
    <hyperlink ref="O105" r:id="rId195" xr:uid="{00000000-0004-0000-0000-0000C2000000}"/>
    <hyperlink ref="O106" r:id="rId196" xr:uid="{00000000-0004-0000-0000-0000C3000000}"/>
    <hyperlink ref="O107" r:id="rId197" xr:uid="{00000000-0004-0000-0000-0000C4000000}"/>
    <hyperlink ref="O108" r:id="rId198" xr:uid="{00000000-0004-0000-0000-0000C5000000}"/>
    <hyperlink ref="O109" r:id="rId199" xr:uid="{00000000-0004-0000-0000-0000C6000000}"/>
    <hyperlink ref="O110" r:id="rId200" xr:uid="{00000000-0004-0000-0000-0000C7000000}"/>
    <hyperlink ref="O111" r:id="rId201" xr:uid="{00000000-0004-0000-0000-0000C8000000}"/>
    <hyperlink ref="O112" r:id="rId202" display="https://optoelectronics.liteon.com/upload/download/DS-70-99-0012/4N3X Series 1115.PDF" xr:uid="{00000000-0004-0000-0000-0000C9000000}"/>
    <hyperlink ref="O113" r:id="rId203" xr:uid="{00000000-0004-0000-0000-0000CA000000}"/>
    <hyperlink ref="O114" r:id="rId204" xr:uid="{00000000-0004-0000-0000-0000CB000000}"/>
    <hyperlink ref="O115" r:id="rId205" xr:uid="{00000000-0004-0000-0000-0000CC000000}"/>
    <hyperlink ref="O116" r:id="rId206" xr:uid="{00000000-0004-0000-0000-0000CD000000}"/>
    <hyperlink ref="O117" r:id="rId207" xr:uid="{00000000-0004-0000-0000-0000CE000000}"/>
    <hyperlink ref="O118" r:id="rId208" xr:uid="{00000000-0004-0000-0000-0000CF000000}"/>
    <hyperlink ref="O119" r:id="rId209" xr:uid="{00000000-0004-0000-0000-0000D0000000}"/>
    <hyperlink ref="O120" r:id="rId210" xr:uid="{00000000-0004-0000-0000-0000D1000000}"/>
    <hyperlink ref="O121" r:id="rId211" xr:uid="{00000000-0004-0000-0000-0000D2000000}"/>
    <hyperlink ref="O122" r:id="rId212" xr:uid="{00000000-0004-0000-0000-0000D3000000}"/>
    <hyperlink ref="O123" r:id="rId213" xr:uid="{00000000-0004-0000-0000-0000D4000000}"/>
    <hyperlink ref="O124" r:id="rId214" xr:uid="{00000000-0004-0000-0000-0000D5000000}"/>
    <hyperlink ref="O125" r:id="rId215" xr:uid="{00000000-0004-0000-0000-0000D6000000}"/>
    <hyperlink ref="O126" r:id="rId216" xr:uid="{00000000-0004-0000-0000-0000D7000000}"/>
    <hyperlink ref="O127" r:id="rId217" xr:uid="{00000000-0004-0000-0000-0000D8000000}"/>
    <hyperlink ref="O128" r:id="rId218" xr:uid="{00000000-0004-0000-0000-0000D9000000}"/>
    <hyperlink ref="O129" r:id="rId219" xr:uid="{00000000-0004-0000-0000-0000DA000000}"/>
    <hyperlink ref="O130" r:id="rId220" xr:uid="{00000000-0004-0000-0000-0000DB000000}"/>
    <hyperlink ref="O131" r:id="rId221" xr:uid="{00000000-0004-0000-0000-0000DC000000}"/>
    <hyperlink ref="O132" r:id="rId222" xr:uid="{00000000-0004-0000-0000-0000DD000000}"/>
    <hyperlink ref="O133" r:id="rId223" xr:uid="{00000000-0004-0000-0000-0000DE000000}"/>
    <hyperlink ref="O134" r:id="rId224" xr:uid="{00000000-0004-0000-0000-0000DF000000}"/>
    <hyperlink ref="O135" r:id="rId225" xr:uid="{00000000-0004-0000-0000-0000E0000000}"/>
    <hyperlink ref="O136" r:id="rId226" xr:uid="{00000000-0004-0000-0000-0000E1000000}"/>
    <hyperlink ref="O137" r:id="rId227" xr:uid="{00000000-0004-0000-0000-0000E2000000}"/>
    <hyperlink ref="O138" r:id="rId228" xr:uid="{00000000-0004-0000-0000-0000E3000000}"/>
    <hyperlink ref="O139" r:id="rId229" xr:uid="{00000000-0004-0000-0000-0000E4000000}"/>
    <hyperlink ref="O140" r:id="rId230" xr:uid="{00000000-0004-0000-0000-0000E5000000}"/>
    <hyperlink ref="O141" r:id="rId231" xr:uid="{00000000-0004-0000-0000-0000E6000000}"/>
    <hyperlink ref="O142" r:id="rId232" xr:uid="{00000000-0004-0000-0000-0000E7000000}"/>
    <hyperlink ref="O143" r:id="rId233" xr:uid="{00000000-0004-0000-0000-0000E8000000}"/>
    <hyperlink ref="O144" r:id="rId234" xr:uid="{00000000-0004-0000-0000-0000E9000000}"/>
    <hyperlink ref="P93" r:id="rId235" display="https://media.digikey.com/Renders/~~Pkg.Case or Series/8-DIP.jpg" xr:uid="{00000000-0004-0000-0000-0000EA000000}"/>
    <hyperlink ref="P94" r:id="rId236" display="https://media.digikey.com/Photos/Texas Instr Photos/Mfg_296~4040049~N~14.jpg" xr:uid="{00000000-0004-0000-0000-0000EB000000}"/>
    <hyperlink ref="P95" r:id="rId237" xr:uid="{00000000-0004-0000-0000-0000EC000000}"/>
    <hyperlink ref="P96" r:id="rId238" display="https://media.digikey.com/Renders/~~Pkg.Case or Series/DIP16_SOT38-1 Pkg.jpg" xr:uid="{00000000-0004-0000-0000-0000ED000000}"/>
    <hyperlink ref="P97" r:id="rId239" display="https://media.digikey.com/Renders/~~Pkg.Case or Series/14PDIP.jpg" xr:uid="{00000000-0004-0000-0000-0000EE000000}"/>
    <hyperlink ref="P98" r:id="rId240" xr:uid="{00000000-0004-0000-0000-0000EF000000}"/>
    <hyperlink ref="P99" r:id="rId241" display="https://media.digikey.com/Renders/~~Pkg.Case or Series/DIP16_SOT38-1 Pkg.jpg" xr:uid="{00000000-0004-0000-0000-0000F0000000}"/>
    <hyperlink ref="P100" r:id="rId242" display="https://media.digikey.com/Photos/Texas Instr Photos/Mfg_296~4040049~N~14.jpg" xr:uid="{00000000-0004-0000-0000-0000F1000000}"/>
    <hyperlink ref="P101" r:id="rId243" xr:uid="{00000000-0004-0000-0000-0000F2000000}"/>
    <hyperlink ref="P102" r:id="rId244" display="https://media.digikey.com/Photos/Texas Instr Photos/Mfg_296~4040049~N~14.jpg" xr:uid="{00000000-0004-0000-0000-0000F3000000}"/>
    <hyperlink ref="P103" r:id="rId245" display="https://media.digikey.com/Renders/Texas Instr Renders/N-24-DIP-Pkg.jpg" xr:uid="{00000000-0004-0000-0000-0000F4000000}"/>
    <hyperlink ref="P104" r:id="rId246" display="https://media.digikey.com/Renders/~~Pkg.Case or Series/DIP16_SOT38-1 Pkg.jpg" xr:uid="{00000000-0004-0000-0000-0000F5000000}"/>
    <hyperlink ref="P105" r:id="rId247" display="https://media.digikey.com/Photos/Intersil Photos/MFG_8-PDIP, E8_3 PKG.jpg" xr:uid="{00000000-0004-0000-0000-0000F6000000}"/>
    <hyperlink ref="P106" r:id="rId248" display="https://media.digikey.com/Renders/~~Pkg.Case or Series/24-Dip.jpg" xr:uid="{00000000-0004-0000-0000-0000F7000000}"/>
    <hyperlink ref="P107" r:id="rId249" display="https://media.digikey.com/Renders/~~Pkg.Case or Series/8-DIP.jpg" xr:uid="{00000000-0004-0000-0000-0000F8000000}"/>
    <hyperlink ref="P108" r:id="rId250" xr:uid="{00000000-0004-0000-0000-0000F9000000}"/>
    <hyperlink ref="P109" r:id="rId251" display="https://media.digikey.com/Renders/~~Pkg.Case or Series/20-DIP.jpg" xr:uid="{00000000-0004-0000-0000-0000FA000000}"/>
    <hyperlink ref="P110" r:id="rId252" display="https://media.digikey.com/Renders/Microchip Tech Renders/150~C04-016~P, PL~40.JPG" xr:uid="{00000000-0004-0000-0000-0000FB000000}"/>
    <hyperlink ref="P111" r:id="rId253" display="https://media.digikey.com/Renders/~~Pkg.Case or Series/18-DIP.jpg" xr:uid="{00000000-0004-0000-0000-0000FC000000}"/>
    <hyperlink ref="P112" r:id="rId254" display="https://media.digikey.com/photos/Lite On Photos/160-6-DIP.jpg" xr:uid="{00000000-0004-0000-0000-0000FD000000}"/>
    <hyperlink ref="P113" r:id="rId255" xr:uid="{00000000-0004-0000-0000-0000FE000000}"/>
    <hyperlink ref="P114" r:id="rId256" xr:uid="{00000000-0004-0000-0000-0000FF000000}"/>
    <hyperlink ref="P115" r:id="rId257" xr:uid="{00000000-0004-0000-0000-000000010000}"/>
    <hyperlink ref="P116" r:id="rId258" xr:uid="{00000000-0004-0000-0000-000001010000}"/>
    <hyperlink ref="P117" r:id="rId259" display="https://media.digikey.com/Renders/Microchip Tech Renders/150~C04-005~P,-PD~14.JPG" xr:uid="{00000000-0004-0000-0000-000002010000}"/>
    <hyperlink ref="P118" r:id="rId260" xr:uid="{00000000-0004-0000-0000-000003010000}"/>
    <hyperlink ref="P119" r:id="rId261" xr:uid="{00000000-0004-0000-0000-000004010000}"/>
    <hyperlink ref="P120" r:id="rId262" xr:uid="{00000000-0004-0000-0000-000005010000}"/>
    <hyperlink ref="P121" r:id="rId263" display="https://media.digikey.com/Photos/Intersil Photos/MFG_8-PDIP, E8_3 PKG.jpg" xr:uid="{00000000-0004-0000-0000-000006010000}"/>
    <hyperlink ref="P122" r:id="rId264" display="https://media.digikey.com/Renders/~~Pkg.Case or Series/14PDIP.jpg" xr:uid="{00000000-0004-0000-0000-000007010000}"/>
    <hyperlink ref="P123" r:id="rId265" display="https://media.digikey.com/Renders/Microchip Tech Renders/150~C04-018~P, PA~8.JPG" xr:uid="{00000000-0004-0000-0000-000008010000}"/>
    <hyperlink ref="P124" r:id="rId266" display="https://media.digikey.com/Renders/~~Pkg.Case or Series/DIP16_SOT38-1 Pkg.jpg" xr:uid="{00000000-0004-0000-0000-000009010000}"/>
    <hyperlink ref="P125" r:id="rId267" display="https://media.digikey.com/Photos/Texas Instr Photos/296~4040049~N~20.jpg" xr:uid="{00000000-0004-0000-0000-00000A010000}"/>
    <hyperlink ref="P126" r:id="rId268" display="https://media.digikey.com/Renders/~~Pkg.Case or Series/28-PDip.jpg" xr:uid="{00000000-0004-0000-0000-00000B010000}"/>
    <hyperlink ref="P127" r:id="rId269" display="https://media.digikey.com/Renders/Maxim Renders/16-DIP.jpg" xr:uid="{00000000-0004-0000-0000-00000C010000}"/>
    <hyperlink ref="P128" r:id="rId270" display="https://media.digikey.com/Renders/~~Pkg.Case or Series/14PDIP.jpg" xr:uid="{00000000-0004-0000-0000-00000D010000}"/>
    <hyperlink ref="P129" r:id="rId271" display="https://media.digikey.com/Renders/~~Pkg.Case or Series/20-DIP.jpg" xr:uid="{00000000-0004-0000-0000-00000E010000}"/>
    <hyperlink ref="P130" r:id="rId272" display="https://media.digikey.com/Renders/~~Pkg.Case or Series/14PDIP.jpg" xr:uid="{00000000-0004-0000-0000-00000F010000}"/>
    <hyperlink ref="P131" r:id="rId273" xr:uid="{00000000-0004-0000-0000-000010010000}"/>
    <hyperlink ref="P132" r:id="rId274" display="https://media.digikey.com/Renders/On Semi Renders/488;MKT-N16E;;16.jpg" xr:uid="{00000000-0004-0000-0000-000011010000}"/>
    <hyperlink ref="P133" r:id="rId275" display="https://media.digikey.com/Renders/~~Pkg.Case or Series/14PDIP.jpg" xr:uid="{00000000-0004-0000-0000-000012010000}"/>
    <hyperlink ref="P134" r:id="rId276" display="https://media.digikey.com/Photos/Texas Instr Photos/Mfg_296~4040049~N~14.jpg" xr:uid="{00000000-0004-0000-0000-000013010000}"/>
    <hyperlink ref="P135" r:id="rId277" display="https://media.digikey.com/Renders/Microchip Tech Renders/150;C04-070; SP,PJ;28.jpg" xr:uid="{00000000-0004-0000-0000-000014010000}"/>
    <hyperlink ref="P136" r:id="rId278" display="https://media.digikey.com/Renders/~~Pkg.Case or Series/DIP16_SOT38-1 Pkg.jpg" xr:uid="{00000000-0004-0000-0000-000015010000}"/>
    <hyperlink ref="P137" r:id="rId279" display="https://media.digikey.com/photos/Maxim Photos/175-14-DIP.jpg" xr:uid="{00000000-0004-0000-0000-000016010000}"/>
    <hyperlink ref="P138" r:id="rId280" display="https://media.digikey.com/Renders/Microchip Tech Renders/150~40P6~~40.JPG" xr:uid="{00000000-0004-0000-0000-000017010000}"/>
    <hyperlink ref="P139" r:id="rId281" display="https://media.digikey.com/Renders/~~Pkg.Case or Series/DIP16_SOT38-1 Pkg.jpg" xr:uid="{00000000-0004-0000-0000-000018010000}"/>
    <hyperlink ref="P140" r:id="rId282" display="https://media.digikey.com/Renders/~~Pkg.Case or Series/8-DIP.jpg" xr:uid="{00000000-0004-0000-0000-000019010000}"/>
    <hyperlink ref="P141" r:id="rId283" xr:uid="{00000000-0004-0000-0000-00001A010000}"/>
    <hyperlink ref="P142" r:id="rId284" xr:uid="{00000000-0004-0000-0000-00001B010000}"/>
    <hyperlink ref="P143" r:id="rId285" xr:uid="{00000000-0004-0000-0000-00001C010000}"/>
    <hyperlink ref="P144" r:id="rId286" display="https://media.digikey.com/Renders/Microchip Tech Renders/150;C04-070; SP,PJ;28.jpg" xr:uid="{00000000-0004-0000-0000-00001D010000}"/>
    <hyperlink ref="O145" r:id="rId287" xr:uid="{00000000-0004-0000-0000-00001E010000}"/>
    <hyperlink ref="O146" r:id="rId288" xr:uid="{00000000-0004-0000-0000-00001F010000}"/>
    <hyperlink ref="O147" r:id="rId289" xr:uid="{00000000-0004-0000-0000-000020010000}"/>
    <hyperlink ref="O148" r:id="rId290" xr:uid="{00000000-0004-0000-0000-000021010000}"/>
    <hyperlink ref="O149" r:id="rId291" xr:uid="{00000000-0004-0000-0000-000022010000}"/>
    <hyperlink ref="O150" r:id="rId292" xr:uid="{00000000-0004-0000-0000-000023010000}"/>
    <hyperlink ref="O151" r:id="rId293" xr:uid="{00000000-0004-0000-0000-000024010000}"/>
    <hyperlink ref="O153" r:id="rId294" xr:uid="{00000000-0004-0000-0000-000025010000}"/>
    <hyperlink ref="O154" r:id="rId295" xr:uid="{00000000-0004-0000-0000-000026010000}"/>
    <hyperlink ref="O155" r:id="rId296" xr:uid="{00000000-0004-0000-0000-000027010000}"/>
    <hyperlink ref="O156" r:id="rId297" xr:uid="{00000000-0004-0000-0000-000028010000}"/>
    <hyperlink ref="O157" r:id="rId298" xr:uid="{00000000-0004-0000-0000-000029010000}"/>
    <hyperlink ref="O158" r:id="rId299" xr:uid="{00000000-0004-0000-0000-00002A010000}"/>
    <hyperlink ref="O159" r:id="rId300" xr:uid="{00000000-0004-0000-0000-00002B010000}"/>
    <hyperlink ref="O160" r:id="rId301" xr:uid="{00000000-0004-0000-0000-00002C010000}"/>
    <hyperlink ref="O161" r:id="rId302" xr:uid="{00000000-0004-0000-0000-00002D010000}"/>
    <hyperlink ref="O162" r:id="rId303" xr:uid="{00000000-0004-0000-0000-00002E010000}"/>
    <hyperlink ref="O163" r:id="rId304" xr:uid="{00000000-0004-0000-0000-00002F010000}"/>
    <hyperlink ref="O164" r:id="rId305" xr:uid="{00000000-0004-0000-0000-000030010000}"/>
    <hyperlink ref="O165" r:id="rId306" xr:uid="{00000000-0004-0000-0000-000031010000}"/>
    <hyperlink ref="O166" r:id="rId307" xr:uid="{00000000-0004-0000-0000-000032010000}"/>
    <hyperlink ref="O167" r:id="rId308" xr:uid="{00000000-0004-0000-0000-000033010000}"/>
    <hyperlink ref="O168" r:id="rId309" xr:uid="{00000000-0004-0000-0000-000034010000}"/>
    <hyperlink ref="O169" r:id="rId310" xr:uid="{00000000-0004-0000-0000-000035010000}"/>
    <hyperlink ref="O170" r:id="rId311" xr:uid="{00000000-0004-0000-0000-000036010000}"/>
    <hyperlink ref="O171" r:id="rId312" xr:uid="{00000000-0004-0000-0000-000037010000}"/>
    <hyperlink ref="O172" r:id="rId313" xr:uid="{00000000-0004-0000-0000-000038010000}"/>
    <hyperlink ref="O173" r:id="rId314" xr:uid="{00000000-0004-0000-0000-000039010000}"/>
    <hyperlink ref="O174" r:id="rId315" xr:uid="{00000000-0004-0000-0000-00003A010000}"/>
    <hyperlink ref="O175" r:id="rId316" xr:uid="{00000000-0004-0000-0000-00003B010000}"/>
    <hyperlink ref="O176" r:id="rId317" xr:uid="{00000000-0004-0000-0000-00003C010000}"/>
    <hyperlink ref="O178" r:id="rId318" xr:uid="{00000000-0004-0000-0000-00003D010000}"/>
    <hyperlink ref="O179" r:id="rId319" xr:uid="{00000000-0004-0000-0000-00003E010000}"/>
    <hyperlink ref="P152" r:id="rId320" xr:uid="{00000000-0004-0000-0000-00003F010000}"/>
    <hyperlink ref="P153" r:id="rId321" xr:uid="{00000000-0004-0000-0000-000040010000}"/>
    <hyperlink ref="P160" r:id="rId322" xr:uid="{00000000-0004-0000-0000-000041010000}"/>
    <hyperlink ref="O152" r:id="rId323" xr:uid="{00000000-0004-0000-0000-000042010000}"/>
    <hyperlink ref="P145" r:id="rId324" xr:uid="{00000000-0004-0000-0000-000043010000}"/>
    <hyperlink ref="P146" r:id="rId325" xr:uid="{00000000-0004-0000-0000-000044010000}"/>
    <hyperlink ref="P147" r:id="rId326" xr:uid="{00000000-0004-0000-0000-000045010000}"/>
    <hyperlink ref="P148" r:id="rId327" xr:uid="{00000000-0004-0000-0000-000046010000}"/>
    <hyperlink ref="P149" r:id="rId328" xr:uid="{00000000-0004-0000-0000-000047010000}"/>
    <hyperlink ref="P150" r:id="rId329" xr:uid="{00000000-0004-0000-0000-000048010000}"/>
    <hyperlink ref="P151" r:id="rId330" xr:uid="{00000000-0004-0000-0000-000049010000}"/>
    <hyperlink ref="P154" r:id="rId331" xr:uid="{00000000-0004-0000-0000-00004A010000}"/>
    <hyperlink ref="P155" r:id="rId332" xr:uid="{00000000-0004-0000-0000-00004B010000}"/>
    <hyperlink ref="P156" r:id="rId333" xr:uid="{00000000-0004-0000-0000-00004C010000}"/>
    <hyperlink ref="P157" r:id="rId334" xr:uid="{00000000-0004-0000-0000-00004D010000}"/>
    <hyperlink ref="P158" r:id="rId335" xr:uid="{00000000-0004-0000-0000-00004E010000}"/>
    <hyperlink ref="P159" r:id="rId336" xr:uid="{00000000-0004-0000-0000-00004F010000}"/>
    <hyperlink ref="P161" r:id="rId337" xr:uid="{00000000-0004-0000-0000-000050010000}"/>
    <hyperlink ref="P162" r:id="rId338" xr:uid="{00000000-0004-0000-0000-000051010000}"/>
    <hyperlink ref="P163" r:id="rId339" xr:uid="{00000000-0004-0000-0000-000052010000}"/>
    <hyperlink ref="P164" r:id="rId340" xr:uid="{00000000-0004-0000-0000-000053010000}"/>
    <hyperlink ref="P165" r:id="rId341" xr:uid="{00000000-0004-0000-0000-000054010000}"/>
    <hyperlink ref="P166" r:id="rId342" xr:uid="{00000000-0004-0000-0000-000055010000}"/>
    <hyperlink ref="P167" r:id="rId343" xr:uid="{00000000-0004-0000-0000-000056010000}"/>
    <hyperlink ref="P168" r:id="rId344" xr:uid="{00000000-0004-0000-0000-000057010000}"/>
    <hyperlink ref="P169" r:id="rId345" xr:uid="{00000000-0004-0000-0000-000058010000}"/>
    <hyperlink ref="P170" r:id="rId346" xr:uid="{00000000-0004-0000-0000-000059010000}"/>
    <hyperlink ref="P171" r:id="rId347" xr:uid="{00000000-0004-0000-0000-00005A010000}"/>
    <hyperlink ref="P172" r:id="rId348" xr:uid="{00000000-0004-0000-0000-00005B010000}"/>
    <hyperlink ref="P173" r:id="rId349" xr:uid="{00000000-0004-0000-0000-00005C010000}"/>
    <hyperlink ref="P174" r:id="rId350" xr:uid="{00000000-0004-0000-0000-00005D010000}"/>
    <hyperlink ref="P175" r:id="rId351" xr:uid="{00000000-0004-0000-0000-00005E010000}"/>
    <hyperlink ref="P176" r:id="rId352" xr:uid="{00000000-0004-0000-0000-00005F010000}"/>
    <hyperlink ref="P177" r:id="rId353" xr:uid="{00000000-0004-0000-0000-000060010000}"/>
    <hyperlink ref="P178" r:id="rId354" xr:uid="{00000000-0004-0000-0000-000061010000}"/>
    <hyperlink ref="P179" r:id="rId355" xr:uid="{00000000-0004-0000-0000-000062010000}"/>
    <hyperlink ref="P180" r:id="rId356" xr:uid="{00000000-0004-0000-0000-000063010000}"/>
    <hyperlink ref="P181" r:id="rId357" xr:uid="{00000000-0004-0000-0000-000064010000}"/>
    <hyperlink ref="O181" r:id="rId358" xr:uid="{00000000-0004-0000-0000-000065010000}"/>
    <hyperlink ref="P182" r:id="rId359" xr:uid="{00000000-0004-0000-0000-000066010000}"/>
    <hyperlink ref="O180" r:id="rId360" xr:uid="{00000000-0004-0000-0000-000067010000}"/>
    <hyperlink ref="O48" r:id="rId361" xr:uid="{00000000-0004-0000-0000-000068010000}"/>
    <hyperlink ref="O101" r:id="rId362" xr:uid="{00000000-0004-0000-0000-000069010000}"/>
    <hyperlink ref="O182" r:id="rId363" xr:uid="{00000000-0004-0000-0000-00006A010000}"/>
    <hyperlink ref="O183" r:id="rId364" xr:uid="{00000000-0004-0000-0000-00006B010000}"/>
    <hyperlink ref="O184" r:id="rId365" xr:uid="{00000000-0004-0000-0000-00006C010000}"/>
    <hyperlink ref="O185" r:id="rId366" xr:uid="{00000000-0004-0000-0000-00006D010000}"/>
    <hyperlink ref="O186" r:id="rId367" xr:uid="{00000000-0004-0000-0000-00006E010000}"/>
    <hyperlink ref="O187" r:id="rId368" xr:uid="{00000000-0004-0000-0000-00006F010000}"/>
    <hyperlink ref="O188" r:id="rId369" xr:uid="{00000000-0004-0000-0000-000070010000}"/>
    <hyperlink ref="O189" r:id="rId370" xr:uid="{00000000-0004-0000-0000-000071010000}"/>
    <hyperlink ref="O190" r:id="rId371" xr:uid="{00000000-0004-0000-0000-000072010000}"/>
    <hyperlink ref="O191" r:id="rId372" xr:uid="{00000000-0004-0000-0000-000073010000}"/>
    <hyperlink ref="O192" r:id="rId373" xr:uid="{00000000-0004-0000-0000-000074010000}"/>
    <hyperlink ref="O193" r:id="rId374" xr:uid="{00000000-0004-0000-0000-000075010000}"/>
    <hyperlink ref="O194" r:id="rId375" xr:uid="{00000000-0004-0000-0000-000076010000}"/>
    <hyperlink ref="O195" r:id="rId376" xr:uid="{00000000-0004-0000-0000-000077010000}"/>
    <hyperlink ref="P183" r:id="rId377" display="https://media.digikey.com/Renders/On Semi Renders/SOT-23-3_527AG.jpg" xr:uid="{00000000-0004-0000-0000-000078010000}"/>
    <hyperlink ref="P184" r:id="rId378" display="https://media.digikey.com/Renders/Toshiba Renders/SOT-23-3 Flat Leads PKG.jpg" xr:uid="{00000000-0004-0000-0000-000079010000}"/>
    <hyperlink ref="P185" r:id="rId379" xr:uid="{00000000-0004-0000-0000-00007A010000}"/>
    <hyperlink ref="P186" r:id="rId380" display="https://media.digikey.com/Renders/~~Pkg.Case or Series/SOT-23-3 PKG.jpg" xr:uid="{00000000-0004-0000-0000-00007B010000}"/>
    <hyperlink ref="P187" r:id="rId381" display="https://media.digikey.com/Renders/Diodes Renders/31~SOT23-3~F,N,SA~3.JPG" xr:uid="{00000000-0004-0000-0000-00007C010000}"/>
    <hyperlink ref="P188" r:id="rId382" display="https://media.digikey.com/Renders/Fairchild Semi Renders/261;MKT-MA04A;;3.jpg" xr:uid="{00000000-0004-0000-0000-00007D010000}"/>
    <hyperlink ref="P189" r:id="rId383" display="https://media.digikey.com/Renders/On Semi Renders/SOT-23-3,TO-236-3,Micro3,SSD3,SST3.jpg" xr:uid="{00000000-0004-0000-0000-00007E010000}"/>
    <hyperlink ref="P190" r:id="rId384" display="https://media.digikey.com/Renders/Diodes Renders/31~SOT23-3~F,N,SA~3.JPG" xr:uid="{00000000-0004-0000-0000-00007F010000}"/>
    <hyperlink ref="P191" r:id="rId385" display="https://media.digikey.com/Renders/Diodes Renders/31~SOT23-3~F,N,SA~3.JPG" xr:uid="{00000000-0004-0000-0000-000080010000}"/>
    <hyperlink ref="P192" r:id="rId386" xr:uid="{00000000-0004-0000-0000-000081010000}"/>
    <hyperlink ref="P193" r:id="rId387" xr:uid="{00000000-0004-0000-0000-000082010000}"/>
    <hyperlink ref="P194" r:id="rId388" display="https://media.digikey.com/Renders/Diodes Renders/31~SOT23-3~F,N,SA~3.JPG" xr:uid="{00000000-0004-0000-0000-000083010000}"/>
    <hyperlink ref="P195" r:id="rId389" xr:uid="{00000000-0004-0000-0000-000084010000}"/>
    <hyperlink ref="P23" r:id="rId390" xr:uid="{00000000-0004-0000-0000-000085010000}"/>
    <hyperlink ref="P24" r:id="rId391" xr:uid="{00000000-0004-0000-0000-000086010000}"/>
    <hyperlink ref="P26" r:id="rId392" xr:uid="{00000000-0004-0000-0000-000087010000}"/>
    <hyperlink ref="P36" r:id="rId393" xr:uid="{00000000-0004-0000-0000-000088010000}"/>
    <hyperlink ref="P38" r:id="rId394" xr:uid="{00000000-0004-0000-0000-000089010000}"/>
    <hyperlink ref="P41" r:id="rId395" xr:uid="{00000000-0004-0000-0000-00008A010000}"/>
    <hyperlink ref="P42" r:id="rId396" xr:uid="{00000000-0004-0000-0000-00008B010000}"/>
    <hyperlink ref="P33" r:id="rId397" xr:uid="{00000000-0004-0000-0000-00008C010000}"/>
    <hyperlink ref="P50" r:id="rId398" xr:uid="{00000000-0004-0000-0000-00008D010000}"/>
    <hyperlink ref="O196" r:id="rId399" xr:uid="{00000000-0004-0000-0000-00008E010000}"/>
    <hyperlink ref="P196" r:id="rId400" display="https://media.digikey.com/Renders/Texas Instr Renders/8-SOIC.jpg" xr:uid="{00000000-0004-0000-0000-00008F010000}"/>
    <hyperlink ref="O197" r:id="rId401" xr:uid="{00000000-0004-0000-0000-000090010000}"/>
    <hyperlink ref="P197" r:id="rId402" xr:uid="{00000000-0004-0000-0000-000091010000}"/>
    <hyperlink ref="O198" r:id="rId403" xr:uid="{00000000-0004-0000-0000-000092010000}"/>
    <hyperlink ref="P198" r:id="rId404" display="https://media.digikey.com/Renders/Texas Instr Renders/296~4204102-3~DRC~10.jpg" xr:uid="{00000000-0004-0000-0000-000093010000}"/>
    <hyperlink ref="O199" r:id="rId405" xr:uid="{00000000-0004-0000-0000-000094010000}"/>
    <hyperlink ref="P199" r:id="rId406" display="https://media.digikey.com/Photos/Espressif Systems/MFG_ESP-WROOM-02D.jpg" xr:uid="{00000000-0004-0000-0000-000095010000}"/>
    <hyperlink ref="O200" r:id="rId407" xr:uid="{00000000-0004-0000-0000-000096010000}"/>
    <hyperlink ref="P200" r:id="rId408" xr:uid="{00000000-0004-0000-0000-000097010000}"/>
    <hyperlink ref="O201" r:id="rId409" xr:uid="{00000000-0004-0000-0000-000098010000}"/>
    <hyperlink ref="P201" r:id="rId410" display="https://media.digikey.com/Photos/Texas Instr Photos/MFG_LMR16006XDDCR.jpg" xr:uid="{00000000-0004-0000-0000-000099010000}"/>
    <hyperlink ref="O202" r:id="rId411" xr:uid="{00000000-0004-0000-0000-00009A010000}"/>
    <hyperlink ref="P202" r:id="rId412" display="https://media.digikey.com/renders/Microchip Tech Renders/150;20VQFN-.90-3x3;ZCL;20.jpg" xr:uid="{00000000-0004-0000-0000-00009B010000}"/>
    <hyperlink ref="O203" r:id="rId413" xr:uid="{00000000-0004-0000-0000-00009C010000}"/>
    <hyperlink ref="P203" r:id="rId414" display="https://media.digikey.com/Renders/Microchip Tech Renders/150~C04-091~CT, OT~5.JPG" xr:uid="{00000000-0004-0000-0000-00009D010000}"/>
    <hyperlink ref="O204" r:id="rId415" xr:uid="{00000000-0004-0000-0000-00009E010000}"/>
    <hyperlink ref="P204" r:id="rId416" display="https://media.digikey.com/Renders/Texas Instr Renders/296~4040064-4~PW~16.JPG" xr:uid="{00000000-0004-0000-0000-00009F010000}"/>
    <hyperlink ref="P205" r:id="rId417" xr:uid="{00000000-0004-0000-0000-0000A0010000}"/>
    <hyperlink ref="O206" r:id="rId418" xr:uid="{00000000-0004-0000-0000-0000A1010000}"/>
    <hyperlink ref="P206" r:id="rId419" display="https://media.digikey.com/Renders/Texas Instr Renders/296~4073329~DGK~8.JPG" xr:uid="{00000000-0004-0000-0000-0000A2010000}"/>
    <hyperlink ref="O207" r:id="rId420" xr:uid="{00000000-0004-0000-0000-0000A3010000}"/>
    <hyperlink ref="P207" r:id="rId421" display="https://media.digikey.com/Renders/Diodes Renders/31~SOT25~DA,-HR,-HT,-W~5.jpg" xr:uid="{00000000-0004-0000-0000-0000A4010000}"/>
    <hyperlink ref="O208" r:id="rId422" xr:uid="{00000000-0004-0000-0000-0000A5010000}"/>
    <hyperlink ref="P208" r:id="rId423" display="https://media.digikey.com/Renders/Texas Instr Renders/8-SOIC.jpg" xr:uid="{00000000-0004-0000-0000-0000A6010000}"/>
    <hyperlink ref="O209" r:id="rId424" xr:uid="{00000000-0004-0000-0000-0000A7010000}"/>
    <hyperlink ref="O210" r:id="rId425" xr:uid="{00000000-0004-0000-0000-0000A8010000}"/>
    <hyperlink ref="P210" r:id="rId426" display="https://media.digikey.com/Renders/NXP Semi Renders/568;SOT96-1; D,S,T,TN2;8.jpg" xr:uid="{00000000-0004-0000-0000-0000A9010000}"/>
    <hyperlink ref="O211" r:id="rId427" xr:uid="{00000000-0004-0000-0000-0000AA010000}"/>
    <hyperlink ref="P211" r:id="rId428" display="https://media.digikey.com/Renders/STMicro Renders/497~5B_ME_V2~T~48.jpg" xr:uid="{00000000-0004-0000-0000-0000AB010000}"/>
    <hyperlink ref="O212" r:id="rId429" xr:uid="{00000000-0004-0000-0000-0000AC010000}"/>
    <hyperlink ref="P212" r:id="rId430" display="https://media.digikey.com/renders/Texas Instr Renders/SOT-23-6 PKG.jpg" xr:uid="{00000000-0004-0000-0000-0000AD010000}"/>
    <hyperlink ref="O213" r:id="rId431" xr:uid="{00000000-0004-0000-0000-0000AE010000}"/>
    <hyperlink ref="P213" r:id="rId432" display="https://media.digikey.com/Renders/Diodes Renders/31~SOT23-3~F,N,SA~3.JPG" xr:uid="{00000000-0004-0000-0000-0000AF010000}"/>
    <hyperlink ref="O215" r:id="rId433" xr:uid="{00000000-0004-0000-0000-0000B0010000}"/>
    <hyperlink ref="P215" r:id="rId434" xr:uid="{00000000-0004-0000-0000-0000B1010000}"/>
    <hyperlink ref="O216" r:id="rId435" xr:uid="{00000000-0004-0000-0000-0000B2010000}"/>
    <hyperlink ref="P216" r:id="rId436" xr:uid="{00000000-0004-0000-0000-0000B3010000}"/>
    <hyperlink ref="O217" r:id="rId437" xr:uid="{00000000-0004-0000-0000-0000B4010000}"/>
    <hyperlink ref="P217" r:id="rId438" xr:uid="{00000000-0004-0000-0000-0000B5010000}"/>
    <hyperlink ref="O218" r:id="rId439" xr:uid="{00000000-0004-0000-0000-0000B6010000}"/>
    <hyperlink ref="P218" r:id="rId440" display="https://media.digikey.com/Renders/Diodes Renders/31~SOT223~E,-G,-H~4.jpg" xr:uid="{00000000-0004-0000-0000-0000B7010000}"/>
    <hyperlink ref="O219" r:id="rId441" xr:uid="{00000000-0004-0000-0000-0000B8010000}"/>
    <hyperlink ref="P219" r:id="rId442" display="https://media.digikey.com/Renders/STMicro Renders/SOT-223.jpg" xr:uid="{00000000-0004-0000-0000-0000B9010000}"/>
    <hyperlink ref="O220" r:id="rId443" xr:uid="{00000000-0004-0000-0000-0000BA010000}"/>
    <hyperlink ref="P220" r:id="rId444" display="https://media.digikey.com/Renders/STMicro Renders/497~8SOIC-3.9~~8.jpg" xr:uid="{00000000-0004-0000-0000-0000BB010000}"/>
    <hyperlink ref="O221" r:id="rId445" xr:uid="{00000000-0004-0000-0000-0000BC010000}"/>
    <hyperlink ref="P221" r:id="rId446" display="https://media.digikey.com/Renders/On Semi Renders/488~846A-02~DM,-CUA,-DMR2,-RM~8.jpg" xr:uid="{00000000-0004-0000-0000-0000BD010000}"/>
    <hyperlink ref="O222" r:id="rId447" xr:uid="{00000000-0004-0000-0000-0000BE010000}"/>
    <hyperlink ref="P222" r:id="rId448" display="https://media.digikey.com/Renders/Micron Renders/557;8WPDFN-.8-6x8;W9;8.jpg" xr:uid="{00000000-0004-0000-0000-0000BF010000}"/>
    <hyperlink ref="O223" r:id="rId449" xr:uid="{00000000-0004-0000-0000-0000C0010000}"/>
    <hyperlink ref="P223" r:id="rId450" display="https://media.digikey.com/Renders/~~Pkg.Case or Series/8-VDFN.jpg" xr:uid="{00000000-0004-0000-0000-0000C1010000}"/>
    <hyperlink ref="O224" r:id="rId451" xr:uid="{00000000-0004-0000-0000-0000C2010000}"/>
    <hyperlink ref="P224" r:id="rId452" display="https://media.digikey.com/Renders/Microchip Tech Renders/150~SOT23-5LD-PD-1-B~M5~5.JPG" xr:uid="{00000000-0004-0000-0000-0000C3010000}"/>
    <hyperlink ref="O225" r:id="rId453" xr:uid="{00000000-0004-0000-0000-0000C4010000}"/>
    <hyperlink ref="P225" r:id="rId454" display="https://media.digikey.com/Renders/Diodes Renders/SOT143.jpg" xr:uid="{00000000-0004-0000-0000-0000C5010000}"/>
    <hyperlink ref="O226" r:id="rId455" xr:uid="{00000000-0004-0000-0000-0000C6010000}"/>
    <hyperlink ref="O227" r:id="rId456" xr:uid="{00000000-0004-0000-0000-0000C7010000}"/>
    <hyperlink ref="P227" r:id="rId457" display="https://media.digikey.com/Renders/Texas Instr Renders/296~4073329~DGK~8.JPG" xr:uid="{00000000-0004-0000-0000-0000C8010000}"/>
    <hyperlink ref="O228" r:id="rId458" xr:uid="{00000000-0004-0000-0000-0000C9010000}"/>
    <hyperlink ref="P228" r:id="rId459" display="https://media.digikey.com/Renders/Skyworks Solutions Renders/336~24QFN-,90-4x4~M~24.jpg" xr:uid="{00000000-0004-0000-0000-0000CA010000}"/>
    <hyperlink ref="O229" r:id="rId460" xr:uid="{00000000-0004-0000-0000-0000CB010000}"/>
    <hyperlink ref="P229" r:id="rId461" display="https://media.digikey.com/Renders/Analog Devices Renders/505~CP-8-21~CP~8.jpg" xr:uid="{00000000-0004-0000-0000-0000CC010000}"/>
    <hyperlink ref="O230" r:id="rId462" xr:uid="{00000000-0004-0000-0000-0000CD010000}"/>
    <hyperlink ref="P230" r:id="rId463" display="https://media.digikey.com/Renders/Texas Instr Renders/296~4040047-5~D~14.JPG" xr:uid="{00000000-0004-0000-0000-0000CE010000}"/>
    <hyperlink ref="O231" r:id="rId464" xr:uid="{00000000-0004-0000-0000-0000CF010000}"/>
    <hyperlink ref="P231" r:id="rId465" display="https://media.digikey.com/Renders/Microchip Tech Renders/150~64TQFP-1.2-10x10~~64.JPG" xr:uid="{00000000-0004-0000-0000-0000D0010000}"/>
    <hyperlink ref="O232" r:id="rId466" xr:uid="{00000000-0004-0000-0000-0000D1010000}"/>
    <hyperlink ref="P232" r:id="rId467" display="https://media.digikey.com/Renders/Microchip Tech Renders/150;-32A;-A,-AU;-32-Top.jpg" xr:uid="{00000000-0004-0000-0000-0000D2010000}"/>
    <hyperlink ref="O233" r:id="rId468" xr:uid="{00000000-0004-0000-0000-0000D3010000}"/>
    <hyperlink ref="P233" r:id="rId469" display="https://media.digikey.com/Photos/Espressif Systems/MFG_ESP32-WROOM-32U.jpg" xr:uid="{00000000-0004-0000-0000-0000D4010000}"/>
    <hyperlink ref="O234" r:id="rId470" xr:uid="{00000000-0004-0000-0000-0000D5010000}"/>
    <hyperlink ref="O235" r:id="rId471" xr:uid="{00000000-0004-0000-0000-0000D6010000}"/>
    <hyperlink ref="P235" r:id="rId472" display="https://media.digikey.com/Renders/Texas Instr Renders/8-SOIC.jpg" xr:uid="{00000000-0004-0000-0000-0000D7010000}"/>
    <hyperlink ref="O236" r:id="rId473" xr:uid="{00000000-0004-0000-0000-0000D8010000}"/>
    <hyperlink ref="P236" r:id="rId474" display="https://media.digikey.com/Renders/Texas Instr Renders/8-SOIC.jpg" xr:uid="{00000000-0004-0000-0000-0000D9010000}"/>
    <hyperlink ref="O237" r:id="rId475" xr:uid="{00000000-0004-0000-0000-0000DA010000}"/>
    <hyperlink ref="P237" r:id="rId476" display="https://media.digikey.com/Photos/Silicon Labs Photos/MFG_EFR32xG13.jpg" xr:uid="{00000000-0004-0000-0000-0000DB010000}"/>
    <hyperlink ref="O238" r:id="rId477" xr:uid="{00000000-0004-0000-0000-0000DC010000}"/>
    <hyperlink ref="P238" r:id="rId478" display="https://media.digikey.com/Renders/STMicro Renders/497;208-1.6-28x28;;208.jpg" xr:uid="{00000000-0004-0000-0000-0000DD010000}"/>
    <hyperlink ref="O239" r:id="rId479" xr:uid="{00000000-0004-0000-0000-0000DE010000}"/>
    <hyperlink ref="P239" r:id="rId480" display="https://media.digikey.com/Renders/~~Pkg.Case or Series/8-VDFN.jpg" xr:uid="{00000000-0004-0000-0000-0000DF010000}"/>
    <hyperlink ref="O240" r:id="rId481" xr:uid="{00000000-0004-0000-0000-0000E0010000}"/>
    <hyperlink ref="P240" r:id="rId482" display="https://media.digikey.com/Photos/Espressif Systems/MFG_ESP32-WROOM-32D.jpg" xr:uid="{00000000-0004-0000-0000-0000E1010000}"/>
    <hyperlink ref="O241" r:id="rId483" xr:uid="{00000000-0004-0000-0000-0000E2010000}"/>
    <hyperlink ref="O242" r:id="rId484" xr:uid="{00000000-0004-0000-0000-0000E3010000}"/>
    <hyperlink ref="P242" r:id="rId485" display="https://media.digikey.com/Photos/National Semi Photos/MFG_LMZ1xxxx SSPM.jpg" xr:uid="{00000000-0004-0000-0000-0000E4010000}"/>
    <hyperlink ref="O243" r:id="rId486" xr:uid="{00000000-0004-0000-0000-0000E5010000}"/>
    <hyperlink ref="P243" r:id="rId487" display="https://uge-one.com/image/cache/catalog/0 0 1 1 By UGE/xkt-510-integrated-wireless-charger-transmitter-ic-smd-sop8-550x550.webp" xr:uid="{00000000-0004-0000-0000-0000E6010000}"/>
    <hyperlink ref="O244" r:id="rId488" xr:uid="{00000000-0004-0000-0000-0000E7010000}"/>
    <hyperlink ref="O245" r:id="rId489" xr:uid="{00000000-0004-0000-0000-0000E8010000}"/>
    <hyperlink ref="P245" r:id="rId490" display="https://media.digikey.com/Renders/Texas Instr Renders/296;-4222143;-RNR;-11.jpg" xr:uid="{00000000-0004-0000-0000-0000E9010000}"/>
    <hyperlink ref="O246" r:id="rId491" xr:uid="{00000000-0004-0000-0000-0000EA010000}"/>
    <hyperlink ref="P246" r:id="rId492" display="https://media.digikey.com/Renders/Rohm Renders/846;UMT6;UM;6.jpg" xr:uid="{00000000-0004-0000-0000-0000EB010000}"/>
    <hyperlink ref="O247" r:id="rId493" xr:uid="{00000000-0004-0000-0000-0000EC010000}"/>
    <hyperlink ref="P247" r:id="rId494" display="https://media.digikey.com/Renders/~~Pkg.Case or Series/10-TFSOP, 10-MSOP. Exposed Pad.jpg" xr:uid="{00000000-0004-0000-0000-0000ED010000}"/>
    <hyperlink ref="O248" r:id="rId495" xr:uid="{00000000-0004-0000-0000-0000EE010000}"/>
    <hyperlink ref="P248" r:id="rId496" display="https://media.digikey.com/Photos/Espressif Systems/MFG_ESP32-PICO-D4.jpg" xr:uid="{00000000-0004-0000-0000-0000EF010000}"/>
    <hyperlink ref="O249" r:id="rId497" display="https://media.digikey.com/pdf/Data Sheets/Trinamic Motion Control PDFs/TMC2209_Rev.1.08.pdf" xr:uid="{00000000-0004-0000-0000-0000F0010000}"/>
    <hyperlink ref="P249" r:id="rId498" display="https://media.digikey.com/Renders/Trinamic Renders/1460~28QFN-,90-5x5~L~28.jpg" xr:uid="{00000000-0004-0000-0000-0000F1010000}"/>
    <hyperlink ref="O250" r:id="rId499" xr:uid="{00000000-0004-0000-0000-0000F2010000}"/>
    <hyperlink ref="P250" r:id="rId500" xr:uid="{00000000-0004-0000-0000-0000F3010000}"/>
    <hyperlink ref="O251" r:id="rId501" xr:uid="{00000000-0004-0000-0000-0000F4010000}"/>
    <hyperlink ref="O252" r:id="rId502" xr:uid="{00000000-0004-0000-0000-0000F5010000}"/>
    <hyperlink ref="P252" r:id="rId503" display="https://media.digikey.com/Renders/Diodes Renders/31~10MSOP-3~~10.JPG" xr:uid="{00000000-0004-0000-0000-0000F6010000}"/>
    <hyperlink ref="O253" r:id="rId504" xr:uid="{00000000-0004-0000-0000-0000F7010000}"/>
    <hyperlink ref="P253" r:id="rId505" xr:uid="{00000000-0004-0000-0000-0000F8010000}"/>
    <hyperlink ref="O254" r:id="rId506" xr:uid="{00000000-0004-0000-0000-0000F9010000}"/>
    <hyperlink ref="P254" r:id="rId507" xr:uid="{00000000-0004-0000-0000-0000FA010000}"/>
    <hyperlink ref="O255" r:id="rId508" xr:uid="{00000000-0004-0000-0000-0000FB010000}"/>
    <hyperlink ref="P255" r:id="rId509" display="https://media.digikey.com/Renders/Maxim Renders/175;21-0147;LT;6.jpg" xr:uid="{00000000-0004-0000-0000-0000FC010000}"/>
    <hyperlink ref="O256" r:id="rId510" xr:uid="{00000000-0004-0000-0000-0000FD010000}"/>
    <hyperlink ref="P256" r:id="rId511" display="https://media.digikey.com/Renders/Texas Instr Renders/296~4073253-4~DBV~5.JPG" xr:uid="{00000000-0004-0000-0000-0000FE010000}"/>
    <hyperlink ref="O257" r:id="rId512" xr:uid="{00000000-0004-0000-0000-0000FF010000}"/>
    <hyperlink ref="P257" r:id="rId513" display="https://media.digikey.com/Renders/Diodes Renders/8-SOIC.jpg" xr:uid="{00000000-0004-0000-0000-000000020000}"/>
    <hyperlink ref="O258" r:id="rId514" xr:uid="{00000000-0004-0000-0000-000001020000}"/>
    <hyperlink ref="P258" r:id="rId515" display="https://media.digikey.com/Renders/Micrel Renders/4-MLF.jpg" xr:uid="{00000000-0004-0000-0000-000002020000}"/>
    <hyperlink ref="O259" r:id="rId516" xr:uid="{00000000-0004-0000-0000-000003020000}"/>
    <hyperlink ref="P259" r:id="rId517" display="https://media.digikey.com/Renders/Texas Instr Renders/14-QFN Exp Pad.jpg" xr:uid="{00000000-0004-0000-0000-000004020000}"/>
    <hyperlink ref="O260" r:id="rId518" display="https://media.digikey.com/pdf/Data Sheets/NEC PDFs/PS2801C-1,PS2801C-4.pdf" xr:uid="{00000000-0004-0000-0000-000005020000}"/>
    <hyperlink ref="P260" r:id="rId519" display="https://media.digikey.com/photos/Avago Tech Photos/ACPL-217-500E.JPG" xr:uid="{00000000-0004-0000-0000-000006020000}"/>
    <hyperlink ref="O261" r:id="rId520" xr:uid="{00000000-0004-0000-0000-000007020000}"/>
    <hyperlink ref="P261" r:id="rId521" display="https://media.digikey.com/photos/AVX Photos/F93 SERIES 1411(3528) PKG.JPG" xr:uid="{00000000-0004-0000-0000-000008020000}"/>
    <hyperlink ref="O262" r:id="rId522" display="https://media.digikey.com/pdf/Data Sheets/Microchip PDFs/RN42_RN42N.pdf" xr:uid="{00000000-0004-0000-0000-000009020000}"/>
    <hyperlink ref="P262" r:id="rId523" display="https://media.digikey.com/Photos/Roving Networks Photos/RN-42-N.jpg" xr:uid="{00000000-0004-0000-0000-00000A020000}"/>
    <hyperlink ref="P209" r:id="rId524" xr:uid="{00000000-0004-0000-0000-00000B020000}"/>
    <hyperlink ref="P226" r:id="rId525" display="https://media.digikey.com/Photos/Espressif Systems/MFG_ESP-WROOM-02.jpg" xr:uid="{00000000-0004-0000-0000-00000C020000}"/>
    <hyperlink ref="P234" r:id="rId526" display="https://media.digikey.com/Photos/Espressif Systems/ESP32-WROOM-32.JPG" xr:uid="{00000000-0004-0000-0000-00000D020000}"/>
    <hyperlink ref="P241" r:id="rId527" xr:uid="{00000000-0004-0000-0000-00000E020000}"/>
    <hyperlink ref="P244" r:id="rId528" xr:uid="{00000000-0004-0000-0000-00000F020000}"/>
    <hyperlink ref="P251" r:id="rId529" xr:uid="{00000000-0004-0000-0000-000010020000}"/>
    <hyperlink ref="O205" r:id="rId530" xr:uid="{00000000-0004-0000-0000-000011020000}"/>
    <hyperlink ref="O263" r:id="rId531" xr:uid="{00000000-0004-0000-0000-000012020000}"/>
    <hyperlink ref="O264" r:id="rId532" xr:uid="{00000000-0004-0000-0000-000013020000}"/>
    <hyperlink ref="O265" r:id="rId533" xr:uid="{00000000-0004-0000-0000-000014020000}"/>
    <hyperlink ref="O266" r:id="rId534" xr:uid="{00000000-0004-0000-0000-000015020000}"/>
    <hyperlink ref="O267" r:id="rId535" xr:uid="{00000000-0004-0000-0000-000016020000}"/>
    <hyperlink ref="O268" r:id="rId536" xr:uid="{00000000-0004-0000-0000-000017020000}"/>
    <hyperlink ref="O269" r:id="rId537" xr:uid="{00000000-0004-0000-0000-000018020000}"/>
    <hyperlink ref="O270" r:id="rId538" xr:uid="{00000000-0004-0000-0000-000019020000}"/>
    <hyperlink ref="O271" r:id="rId539" xr:uid="{00000000-0004-0000-0000-00001A020000}"/>
    <hyperlink ref="O272" r:id="rId540" xr:uid="{00000000-0004-0000-0000-00001B020000}"/>
    <hyperlink ref="O273" r:id="rId541" xr:uid="{00000000-0004-0000-0000-00001C020000}"/>
    <hyperlink ref="O274" r:id="rId542" xr:uid="{00000000-0004-0000-0000-00001D020000}"/>
    <hyperlink ref="O275" r:id="rId543" xr:uid="{00000000-0004-0000-0000-00001E020000}"/>
    <hyperlink ref="O276" r:id="rId544" xr:uid="{00000000-0004-0000-0000-00001F020000}"/>
    <hyperlink ref="O277" r:id="rId545" xr:uid="{00000000-0004-0000-0000-000020020000}"/>
    <hyperlink ref="O278" r:id="rId546" xr:uid="{00000000-0004-0000-0000-000021020000}"/>
    <hyperlink ref="O279" r:id="rId547" xr:uid="{00000000-0004-0000-0000-000022020000}"/>
    <hyperlink ref="O280" r:id="rId548" display="http://www.pdc.com.tw/product/pdf/MCS0630 Series.pdf" xr:uid="{00000000-0004-0000-0000-000023020000}"/>
    <hyperlink ref="O281" r:id="rId549" xr:uid="{00000000-0004-0000-0000-000024020000}"/>
    <hyperlink ref="O282" r:id="rId550" xr:uid="{00000000-0004-0000-0000-000025020000}"/>
    <hyperlink ref="O283" r:id="rId551" xr:uid="{00000000-0004-0000-0000-000026020000}"/>
    <hyperlink ref="O284" r:id="rId552" xr:uid="{00000000-0004-0000-0000-000027020000}"/>
    <hyperlink ref="O285" r:id="rId553" xr:uid="{00000000-0004-0000-0000-000028020000}"/>
    <hyperlink ref="O286" r:id="rId554" xr:uid="{00000000-0004-0000-0000-000029020000}"/>
    <hyperlink ref="O287" r:id="rId555" xr:uid="{00000000-0004-0000-0000-00002A020000}"/>
    <hyperlink ref="O288" r:id="rId556" xr:uid="{00000000-0004-0000-0000-00002B020000}"/>
    <hyperlink ref="P263" r:id="rId557" display="https://media.digikey.com/Renders/Murata Renders/0603(LQG18).jpg" xr:uid="{00000000-0004-0000-0000-00002C020000}"/>
    <hyperlink ref="P264" r:id="rId558" display="https://media.digikey.com/Renders/TDK Renders/MMZ0603xxxxCT000.jpg" xr:uid="{00000000-0004-0000-0000-00002D020000}"/>
    <hyperlink ref="P265" r:id="rId559" xr:uid="{00000000-0004-0000-0000-00002E020000}"/>
    <hyperlink ref="P266" r:id="rId560" xr:uid="{00000000-0004-0000-0000-00002F020000}"/>
    <hyperlink ref="P267" r:id="rId561" display="https://media.digikey.com/Renders/Epcos Renders/SIMID 1210 (3225 Metric).jpg" xr:uid="{00000000-0004-0000-0000-000030020000}"/>
    <hyperlink ref="P268" r:id="rId562" display="https://media.digikey.com/Photos/Murata Photos/MFG_DG6045C,DG6050C.JPG" xr:uid="{00000000-0004-0000-0000-000031020000}"/>
    <hyperlink ref="P269" r:id="rId563" xr:uid="{00000000-0004-0000-0000-000032020000}"/>
    <hyperlink ref="P270" r:id="rId564" display="https://media.digikey.com/Photos/Murata Photos/LQH5BPN1R5NT0L.JPG" xr:uid="{00000000-0004-0000-0000-000033020000}"/>
    <hyperlink ref="P271" r:id="rId565" display="https://media.digikey.com/Photos/Murata Photos/LQH5BPN1R5NT0L.JPG" xr:uid="{00000000-0004-0000-0000-000034020000}"/>
    <hyperlink ref="P272" r:id="rId566" display="https://media.digikey.com/Renders/Murata Renders/LQW15A.jpg" xr:uid="{00000000-0004-0000-0000-000035020000}"/>
    <hyperlink ref="P273" r:id="rId567" xr:uid="{00000000-0004-0000-0000-000036020000}"/>
    <hyperlink ref="P274" r:id="rId568" xr:uid="{00000000-0004-0000-0000-000037020000}"/>
    <hyperlink ref="P275" r:id="rId569" xr:uid="{00000000-0004-0000-0000-000038020000}"/>
    <hyperlink ref="P276" r:id="rId570" xr:uid="{00000000-0004-0000-0000-000039020000}"/>
    <hyperlink ref="P277" r:id="rId571" display="https://media.digikey.com/photos/Coiltronics Photos/HCM0703-SERIES.jpg" xr:uid="{00000000-0004-0000-0000-00003A020000}"/>
    <hyperlink ref="P278" r:id="rId572" display="https://media.digikey.com/Photos/TDK Photos/MFG_MMZ1005.jpg" xr:uid="{00000000-0004-0000-0000-00003B020000}"/>
    <hyperlink ref="P279" r:id="rId573" display="https://media.digikey.com/photos/TDK Photos/SLF10145 SERIES.jpg" xr:uid="{00000000-0004-0000-0000-00003C020000}"/>
    <hyperlink ref="P280" r:id="rId574" xr:uid="{00000000-0004-0000-0000-00003D020000}"/>
    <hyperlink ref="P281" r:id="rId575" xr:uid="{00000000-0004-0000-0000-00003E020000}"/>
    <hyperlink ref="P282" r:id="rId576" xr:uid="{00000000-0004-0000-0000-00003F020000}"/>
    <hyperlink ref="P283" r:id="rId577" xr:uid="{00000000-0004-0000-0000-000040020000}"/>
    <hyperlink ref="P284" r:id="rId578" display="https://media.digikey.com/Photos/Wurth Electronics Photos/7447480101.JPG" xr:uid="{00000000-0004-0000-0000-000041020000}"/>
    <hyperlink ref="P285" r:id="rId579" xr:uid="{00000000-0004-0000-0000-000042020000}"/>
    <hyperlink ref="P286" r:id="rId580" display="https://media.digikey.com/Photos/TDK Photos/MFG_VLCF5020.jpg" xr:uid="{00000000-0004-0000-0000-000043020000}"/>
    <hyperlink ref="P287" r:id="rId581" display="https://media.digikey.com/Photos/TDK Photos/MFG_VLS-EX-H-Series.jpg" xr:uid="{00000000-0004-0000-0000-000044020000}"/>
    <hyperlink ref="P288" r:id="rId582" display="https://media.digikey.com/Photos/Vishay Dale Photos/MFG_IHLP-2525CZ-01-Series.jpg" xr:uid="{00000000-0004-0000-0000-000045020000}"/>
    <hyperlink ref="O289" r:id="rId583" xr:uid="{00000000-0004-0000-0000-000046020000}"/>
    <hyperlink ref="O290" r:id="rId584" xr:uid="{00000000-0004-0000-0000-000047020000}"/>
    <hyperlink ref="O291" r:id="rId585" xr:uid="{00000000-0004-0000-0000-000048020000}"/>
    <hyperlink ref="O292" r:id="rId586" xr:uid="{00000000-0004-0000-0000-000049020000}"/>
    <hyperlink ref="O293" r:id="rId587" xr:uid="{00000000-0004-0000-0000-00004A020000}"/>
    <hyperlink ref="O294" r:id="rId588" xr:uid="{00000000-0004-0000-0000-00004B020000}"/>
    <hyperlink ref="P289" r:id="rId589" display="https://media.digikey.com/Renders/Abracon Renders/ABS07 Series.jpg" xr:uid="{00000000-0004-0000-0000-00004C020000}"/>
    <hyperlink ref="P290" r:id="rId590" display="https://media.digikey.com/Photos/TXC Technology/7B5-SERIES.jpg" xr:uid="{00000000-0004-0000-0000-00004D020000}"/>
    <hyperlink ref="P291" r:id="rId591" display="https://media.digikey.com/Photos/Citizen Amer Photos/CM200C-32.768KDZB-UT.jpg" xr:uid="{00000000-0004-0000-0000-00004E020000}"/>
    <hyperlink ref="P292" r:id="rId592" xr:uid="{00000000-0004-0000-0000-00004F020000}"/>
    <hyperlink ref="P293" r:id="rId593" xr:uid="{00000000-0004-0000-0000-000050020000}"/>
    <hyperlink ref="P294" r:id="rId594" xr:uid="{00000000-0004-0000-0000-000051020000}"/>
  </hyperlinks>
  <pageMargins left="0.7" right="0.7" top="0.75" bottom="0.75" header="0.3" footer="0.3"/>
  <pageSetup orientation="portrait" r:id="rId595"/>
</worksheet>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eSpark</dc:creator>
  <cp:keywords/>
  <dc:description/>
  <cp:lastModifiedBy>eSpark</cp:lastModifiedBy>
  <cp:revision/>
  <dcterms:created xsi:type="dcterms:W3CDTF">2023-02-27T12:10:33Z</dcterms:created>
  <dcterms:modified xsi:type="dcterms:W3CDTF">2023-08-31T06:21:42Z</dcterms:modified>
  <cp:category/>
  <cp:contentStatus/>
</cp:coreProperties>
</file>